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sie 2018\ODIT.DOSIE_2018\C\"/>
    </mc:Choice>
  </mc:AlternateContent>
  <bookViews>
    <workbookView xWindow="0" yWindow="0" windowWidth="16457" windowHeight="620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71" i="1" l="1"/>
  <c r="J68" i="1"/>
  <c r="K68" i="1" s="1"/>
  <c r="J53" i="1"/>
  <c r="K53" i="1" s="1"/>
  <c r="J50" i="1"/>
  <c r="K50" i="1" s="1"/>
  <c r="H68" i="1"/>
  <c r="H65" i="1"/>
  <c r="J65" i="1" s="1"/>
  <c r="K65" i="1" s="1"/>
  <c r="H62" i="1"/>
  <c r="J62" i="1" s="1"/>
  <c r="K62" i="1" s="1"/>
  <c r="H59" i="1"/>
  <c r="J59" i="1" s="1"/>
  <c r="K59" i="1" s="1"/>
  <c r="H56" i="1"/>
  <c r="J56" i="1" s="1"/>
  <c r="K56" i="1" s="1"/>
  <c r="H53" i="1"/>
  <c r="H50" i="1"/>
  <c r="H47" i="1"/>
  <c r="J47" i="1" s="1"/>
  <c r="K47" i="1" s="1"/>
  <c r="H44" i="1"/>
  <c r="J44" i="1" s="1"/>
  <c r="K44" i="1" s="1"/>
  <c r="H41" i="1"/>
  <c r="J41" i="1" s="1"/>
  <c r="K41" i="1" s="1"/>
  <c r="J38" i="1"/>
  <c r="K38" i="1" s="1"/>
  <c r="H38" i="1"/>
  <c r="H35" i="1"/>
  <c r="J35" i="1" s="1"/>
  <c r="K35" i="1" s="1"/>
  <c r="J31" i="1"/>
  <c r="K30" i="1"/>
  <c r="K31" i="1" s="1"/>
  <c r="K29" i="1"/>
  <c r="K28" i="1"/>
  <c r="K27" i="1"/>
  <c r="H31" i="1"/>
  <c r="H70" i="1" l="1"/>
</calcChain>
</file>

<file path=xl/sharedStrings.xml><?xml version="1.0" encoding="utf-8"?>
<sst xmlns="http://schemas.openxmlformats.org/spreadsheetml/2006/main" count="183" uniqueCount="97">
  <si>
    <t>ОДИТЪТ СЕ ИЗВЪРШВА ОТ</t>
  </si>
  <si>
    <t>ПРИМА ФИНАНС КОНСУЛТИНГ ЕООД</t>
  </si>
  <si>
    <t>ДОКУМЕНТ</t>
  </si>
  <si>
    <t>С 400  11 Тест  по  същество  на   приходи</t>
  </si>
  <si>
    <t>АДРЕС</t>
  </si>
  <si>
    <t>СОФИЯ, УЛ. ЦАР ШИШМАН 17</t>
  </si>
  <si>
    <t>ОДИТИРАНО ПРЕДПРИЯТИЕ</t>
  </si>
  <si>
    <t>БУЛСТАТ</t>
  </si>
  <si>
    <t>РЪКОВОДИТЕЛ ЕКИП</t>
  </si>
  <si>
    <t>ВАСИЛ КРЪСТЕВ КАЛАЙДЖИЕВ</t>
  </si>
  <si>
    <t>ДИПЛОМА НОМЕР</t>
  </si>
  <si>
    <t>ПРОВЕРЯВАН ПЕРИОД</t>
  </si>
  <si>
    <t>ДАТА НА ИЗГОТВЯНЕ</t>
  </si>
  <si>
    <t>ДАТА НА ПРОВЕРКА</t>
  </si>
  <si>
    <t>ИЗГОТВИЛ ИЛИ НАНЕСЪЛ ПОПРАВКИ (ОДИТОР/ПОМОЩНИК ОДИТОР,АСИСТЕНТ)</t>
  </si>
  <si>
    <t>ПРОВЕРИЛ (ОТГОВОРЕН ОДИТОР)</t>
  </si>
  <si>
    <t xml:space="preserve"> ИС</t>
  </si>
  <si>
    <t>ВК</t>
  </si>
  <si>
    <t xml:space="preserve">Цел   на одиторската  процедура </t>
  </si>
  <si>
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</si>
  <si>
    <t>на приходи  , включително  и  финансови  .</t>
  </si>
  <si>
    <t>Приложени одиторсик процедури :</t>
  </si>
  <si>
    <t>факт.проверка  на договори и др.документация;повторно изчисление на салдо ;равнение на сметката с ФО ;проучващи запитвания</t>
  </si>
  <si>
    <t xml:space="preserve">  Избран подход за тест по  същество </t>
  </si>
  <si>
    <t xml:space="preserve">проверка   на  избрани  обекти  на  популация  </t>
  </si>
  <si>
    <t>X</t>
  </si>
  <si>
    <t xml:space="preserve">одиторска  извадка   - статистическа </t>
  </si>
  <si>
    <t xml:space="preserve">проверка на 100 %  на  популация </t>
  </si>
  <si>
    <t>Документ №/Дата</t>
  </si>
  <si>
    <t>Рег. №</t>
  </si>
  <si>
    <t>Дт с/ка</t>
  </si>
  <si>
    <t>Аналитична сметка</t>
  </si>
  <si>
    <t>Кт с/ка</t>
  </si>
  <si>
    <t>Сума</t>
  </si>
  <si>
    <t>Обяснителен текст</t>
  </si>
  <si>
    <t xml:space="preserve">Установена сума   при одита </t>
  </si>
  <si>
    <t xml:space="preserve">Отклонение  </t>
  </si>
  <si>
    <t xml:space="preserve"> КЛИЕНТИ В ЛЕВА</t>
  </si>
  <si>
    <t>0000000020, 12.1.2018 г.</t>
  </si>
  <si>
    <t>Продажба на Iphone</t>
  </si>
  <si>
    <t>0000000027, 18.7.2018 г.</t>
  </si>
  <si>
    <t>Продажба на ДМА</t>
  </si>
  <si>
    <t>0000000028, 18.7.2018 г.</t>
  </si>
  <si>
    <t>0000000033, 23.11.2018 г.</t>
  </si>
  <si>
    <t>ПРИХОДИ ОТ ПРОДАЖБИ НА ДА</t>
  </si>
  <si>
    <t>0000000021, 31.1.2018 г.</t>
  </si>
  <si>
    <t>КЛИЕНТИ - СВЪРЗАНИ ЛИЦА</t>
  </si>
  <si>
    <t>Услуги за м.01.2018</t>
  </si>
  <si>
    <t>0000000022, 28.2.2018 г.</t>
  </si>
  <si>
    <t>Услуги за м.02.2018</t>
  </si>
  <si>
    <t>0000000023, 30.3.2018 г.</t>
  </si>
  <si>
    <t>Услуги за м.03.2018</t>
  </si>
  <si>
    <t>0000000024, 30.4.2018 г.</t>
  </si>
  <si>
    <t>Услуги за м.04.2018</t>
  </si>
  <si>
    <t>0000000029, 31.7.2018 г.</t>
  </si>
  <si>
    <t>0000000030, 31.8.2018 г.</t>
  </si>
  <si>
    <t>Услуги за м. 07.2018</t>
  </si>
  <si>
    <t>Услуги за м. 08.2018</t>
  </si>
  <si>
    <t>0000000031, 28.9.2018 г.</t>
  </si>
  <si>
    <t>Услуги за м. 09.2018</t>
  </si>
  <si>
    <t>0000000032, 31.10.2018 г.</t>
  </si>
  <si>
    <t>Услуги за м. 10.2018</t>
  </si>
  <si>
    <t>0000000034, 30.11.2018 г.</t>
  </si>
  <si>
    <t>Услуги за м. 11.2018</t>
  </si>
  <si>
    <t>0000000035, 31.12.2018 г.</t>
  </si>
  <si>
    <t>Услуги за м. 12.2018</t>
  </si>
  <si>
    <t>0000000025, 31.5.2018 г.</t>
  </si>
  <si>
    <t>Услуги за м.05.2018</t>
  </si>
  <si>
    <t>0000000026, 29.6.2018 г.</t>
  </si>
  <si>
    <t>Услуги за м.06.2018</t>
  </si>
  <si>
    <t>ПРИХОДИ ОТ ПРОДАЖБА НА УСЛУГИ</t>
  </si>
  <si>
    <t>ПРИХОДИ ОТ ПРОДАЖБА НА УСЛУГИ - НАДЦЕНКА</t>
  </si>
  <si>
    <t>ДРУГИ ПРИХОДИ</t>
  </si>
  <si>
    <t>Възстановена сума от служител за проведен курс</t>
  </si>
  <si>
    <t>ПОДОТЧЕТНИ ЛИЦА</t>
  </si>
  <si>
    <t>ЗАКЛЮЧЕНИЯ :</t>
  </si>
  <si>
    <t xml:space="preserve">Обща  сума/брой   на  проверени   документи </t>
  </si>
  <si>
    <t xml:space="preserve">Обща  сума / брой на обекти в  популация </t>
  </si>
  <si>
    <t xml:space="preserve">Равнение на  ст/ст на популация с оборотна ведомости; глава  книга ; ФО </t>
  </si>
  <si>
    <t>Стойността се равнява на тази по Об.ведомост и Гл.кн.</t>
  </si>
  <si>
    <t xml:space="preserve">Проектиране на грешката </t>
  </si>
  <si>
    <t>НЕПРИЛОЖИМО</t>
  </si>
  <si>
    <t xml:space="preserve">Констатирани  СНОН </t>
  </si>
  <si>
    <t>Не са констатирани съществени неточности, отклонения и несъответствия при осчетоводяване на продажбите.</t>
  </si>
  <si>
    <t xml:space="preserve">Други  заключения </t>
  </si>
  <si>
    <t>Общо</t>
  </si>
  <si>
    <t>Обща сума проверени документи по Кт на 702001 - 9019973.41 лв.</t>
  </si>
  <si>
    <t>Обща сума по Кт на 702001 - 9019973.41лв.</t>
  </si>
  <si>
    <t>Обща сума проверени документи по Кт на 702002 -367739.61 лв.</t>
  </si>
  <si>
    <t>Обща сума по Кт на 702002 - 367739.61лв.</t>
  </si>
  <si>
    <t>Обща сума проверени документи по Кт на 709101 - 729.77 лв.</t>
  </si>
  <si>
    <t>Обща сума по Кт на 709101 - 729.77лв.</t>
  </si>
  <si>
    <t>Обща сума проверени документи по Кт на 705001 - 500 лв.</t>
  </si>
  <si>
    <t>Обща сума по Кт на 705001 - 500 лв.</t>
  </si>
  <si>
    <t>Извършват се продажби на софтуерни услуги и се префактурират с надценка разходи за издръжка на предприятието за сметка на фимата-майка.. Използват се подходящи счетоводни сметки с детайлна аналитичност. Записванията се отразяват своевременно в регистрите на дружеството при извършена доставка на услуга.E26.</t>
  </si>
  <si>
    <t>Форт България ЕООД</t>
  </si>
  <si>
    <t>гр.София, жк Младост, Бизнес
Център "Капитал Форт", бул. „Цариградско шосе" № 90, ет.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</si>
</sst>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rgb="FF3F3F7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indexed="8"/>
      <name val="Trebuchet MS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b/>
      <i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6" borderId="2" applyNumberFormat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49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6" fillId="7" borderId="0" xfId="0" applyNumberFormat="1" applyFont="1" applyFill="1" applyBorder="1" applyAlignment="1" applyProtection="1">
      <alignment horizontal="left" vertical="top" wrapText="1"/>
    </xf>
    <xf numFmtId="14" fontId="5" fillId="7" borderId="0" xfId="0" applyNumberFormat="1" applyFont="1" applyFill="1" applyBorder="1" applyAlignment="1" applyProtection="1">
      <alignment vertical="top" wrapText="1"/>
    </xf>
    <xf numFmtId="0" fontId="6" fillId="7" borderId="0" xfId="0" applyNumberFormat="1" applyFont="1" applyFill="1" applyBorder="1" applyAlignment="1" applyProtection="1">
      <alignment horizontal="right" vertical="top" wrapText="1"/>
    </xf>
    <xf numFmtId="0" fontId="7" fillId="0" borderId="0" xfId="0" applyFont="1"/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8" fillId="0" borderId="0" xfId="0" applyFont="1"/>
    <xf numFmtId="0" fontId="3" fillId="6" borderId="3" xfId="1" applyBorder="1" applyAlignment="1">
      <alignment wrapText="1"/>
    </xf>
    <xf numFmtId="0" fontId="9" fillId="0" borderId="0" xfId="0" applyFont="1" applyAlignment="1">
      <alignment wrapText="1"/>
    </xf>
    <xf numFmtId="0" fontId="3" fillId="0" borderId="0" xfId="1" applyFill="1" applyBorder="1"/>
    <xf numFmtId="0" fontId="9" fillId="0" borderId="0" xfId="0" applyFont="1"/>
    <xf numFmtId="0" fontId="4" fillId="0" borderId="12" xfId="0" applyFont="1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13" xfId="0" applyNumberFormat="1" applyFont="1" applyBorder="1"/>
    <xf numFmtId="0" fontId="0" fillId="0" borderId="14" xfId="0" applyBorder="1"/>
    <xf numFmtId="0" fontId="2" fillId="7" borderId="0" xfId="0" applyNumberFormat="1" applyFont="1" applyFill="1" applyBorder="1" applyAlignment="1" applyProtection="1">
      <alignment horizontal="right" vertical="top" wrapText="1"/>
    </xf>
    <xf numFmtId="0" fontId="4" fillId="0" borderId="0" xfId="0" applyFont="1"/>
    <xf numFmtId="0" fontId="10" fillId="0" borderId="0" xfId="0" applyFont="1"/>
    <xf numFmtId="0" fontId="4" fillId="0" borderId="13" xfId="0" applyFont="1" applyBorder="1"/>
    <xf numFmtId="2" fontId="0" fillId="0" borderId="14" xfId="0" applyNumberFormat="1" applyBorder="1"/>
    <xf numFmtId="0" fontId="4" fillId="0" borderId="12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14" fontId="1" fillId="4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6" borderId="4" xfId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3" fillId="6" borderId="5" xfId="1" applyBorder="1" applyAlignment="1">
      <alignment vertical="top" wrapText="1"/>
    </xf>
    <xf numFmtId="0" fontId="3" fillId="6" borderId="7" xfId="1" applyBorder="1" applyAlignment="1">
      <alignment vertical="top" wrapText="1"/>
    </xf>
    <xf numFmtId="0" fontId="3" fillId="6" borderId="0" xfId="1" applyBorder="1" applyAlignment="1">
      <alignment vertical="top" wrapText="1"/>
    </xf>
  </cellXfs>
  <cellStyles count="2">
    <cellStyle name="Вход" xfId="1" builtinId="20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abSelected="1" zoomScale="51" zoomScaleNormal="90" workbookViewId="0">
      <selection activeCell="H70" sqref="H70"/>
    </sheetView>
  </sheetViews>
  <sheetFormatPr defaultRowHeight="14.6" x14ac:dyDescent="0.4"/>
  <cols>
    <col min="2" max="2" width="23.3046875" customWidth="1"/>
    <col min="3" max="3" width="4.4609375" customWidth="1"/>
    <col min="4" max="4" width="11.53515625" customWidth="1"/>
    <col min="5" max="5" width="26.84375" customWidth="1"/>
    <col min="6" max="6" width="10.765625" customWidth="1"/>
    <col min="7" max="7" width="33.15234375" customWidth="1"/>
    <col min="8" max="8" width="13.4609375" customWidth="1"/>
    <col min="9" max="9" width="22.4609375" customWidth="1"/>
    <col min="10" max="10" width="15.84375" customWidth="1"/>
    <col min="11" max="11" width="24.84375" customWidth="1"/>
  </cols>
  <sheetData>
    <row r="1" spans="1:9" x14ac:dyDescent="0.4">
      <c r="B1" s="4" t="s">
        <v>0</v>
      </c>
      <c r="C1" s="36" t="s">
        <v>1</v>
      </c>
      <c r="D1" s="36"/>
      <c r="E1" s="36" t="s">
        <v>2</v>
      </c>
      <c r="F1" s="36"/>
      <c r="G1" s="36" t="s">
        <v>3</v>
      </c>
      <c r="H1" s="36"/>
    </row>
    <row r="2" spans="1:9" ht="34.5" customHeight="1" x14ac:dyDescent="0.4">
      <c r="B2" s="4" t="s">
        <v>4</v>
      </c>
      <c r="C2" s="37" t="s">
        <v>5</v>
      </c>
      <c r="D2" s="37"/>
      <c r="E2" s="36" t="s">
        <v>6</v>
      </c>
      <c r="F2" s="36"/>
      <c r="G2" s="37" t="s">
        <v>95</v>
      </c>
      <c r="H2" s="37"/>
    </row>
    <row r="3" spans="1:9" ht="41.25" customHeight="1" x14ac:dyDescent="0.4">
      <c r="B3" s="4" t="s">
        <v>7</v>
      </c>
      <c r="C3" s="35">
        <v>121100122</v>
      </c>
      <c r="D3" s="35"/>
      <c r="E3" s="36" t="s">
        <v>4</v>
      </c>
      <c r="F3" s="36"/>
      <c r="G3" s="35" t="s">
        <v>96</v>
      </c>
      <c r="H3" s="35"/>
    </row>
    <row r="4" spans="1:9" x14ac:dyDescent="0.4">
      <c r="B4" s="4" t="s">
        <v>8</v>
      </c>
      <c r="C4" s="37" t="s">
        <v>9</v>
      </c>
      <c r="D4" s="37"/>
      <c r="E4" s="36" t="s">
        <v>7</v>
      </c>
      <c r="F4" s="36"/>
      <c r="G4" s="37">
        <v>203576042</v>
      </c>
      <c r="H4" s="37"/>
    </row>
    <row r="5" spans="1:9" x14ac:dyDescent="0.4">
      <c r="B5" s="4" t="s">
        <v>10</v>
      </c>
      <c r="C5" s="35">
        <v>409</v>
      </c>
      <c r="D5" s="35"/>
      <c r="E5" s="36" t="s">
        <v>11</v>
      </c>
      <c r="F5" s="36"/>
      <c r="G5" s="35">
        <v>2018</v>
      </c>
      <c r="H5" s="35"/>
    </row>
    <row r="6" spans="1:9" x14ac:dyDescent="0.4">
      <c r="B6" s="4" t="s">
        <v>12</v>
      </c>
      <c r="C6" s="38">
        <v>43508</v>
      </c>
      <c r="D6" s="38"/>
      <c r="E6" s="36" t="s">
        <v>13</v>
      </c>
      <c r="F6" s="36"/>
      <c r="G6" s="38">
        <v>43508</v>
      </c>
      <c r="H6" s="37"/>
    </row>
    <row r="7" spans="1:9" x14ac:dyDescent="0.4">
      <c r="B7" s="39" t="s">
        <v>14</v>
      </c>
      <c r="C7" s="39"/>
      <c r="D7" s="39"/>
      <c r="E7" s="39" t="s">
        <v>15</v>
      </c>
      <c r="F7" s="39"/>
      <c r="G7" s="39"/>
      <c r="H7" s="39"/>
    </row>
    <row r="8" spans="1:9" x14ac:dyDescent="0.4">
      <c r="B8" s="35" t="s">
        <v>16</v>
      </c>
      <c r="C8" s="35"/>
      <c r="D8" s="35"/>
      <c r="E8" s="35" t="s">
        <v>17</v>
      </c>
      <c r="F8" s="35"/>
      <c r="G8" s="35"/>
      <c r="H8" s="35"/>
    </row>
    <row r="10" spans="1:9" x14ac:dyDescent="0.4">
      <c r="A10" s="3"/>
      <c r="B10" s="3" t="s">
        <v>18</v>
      </c>
      <c r="C10" s="3"/>
      <c r="D10" s="3"/>
      <c r="E10" s="3"/>
      <c r="F10" s="3"/>
      <c r="G10" s="3"/>
      <c r="H10" s="3"/>
      <c r="I10" s="3"/>
    </row>
    <row r="11" spans="1:9" x14ac:dyDescent="0.4">
      <c r="A11" s="3"/>
      <c r="B11" s="3" t="s">
        <v>19</v>
      </c>
      <c r="C11" s="3"/>
      <c r="D11" s="3"/>
      <c r="E11" s="3"/>
      <c r="F11" s="3"/>
      <c r="G11" s="3"/>
      <c r="H11" s="3"/>
      <c r="I11" s="3"/>
    </row>
    <row r="12" spans="1:9" x14ac:dyDescent="0.4">
      <c r="A12" s="3"/>
      <c r="B12" s="3" t="s">
        <v>20</v>
      </c>
      <c r="C12" s="3"/>
      <c r="D12" s="3"/>
      <c r="E12" s="3"/>
      <c r="F12" s="3"/>
      <c r="G12" s="3"/>
      <c r="H12" s="3"/>
      <c r="I12" s="3"/>
    </row>
    <row r="13" spans="1:9" x14ac:dyDescent="0.4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4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4">
      <c r="A15" s="3"/>
      <c r="B15" s="3" t="s">
        <v>21</v>
      </c>
      <c r="C15" s="3"/>
      <c r="D15" s="3"/>
      <c r="E15" s="3"/>
      <c r="F15" s="3"/>
      <c r="G15" s="3"/>
      <c r="H15" s="3"/>
      <c r="I15" s="3"/>
    </row>
    <row r="16" spans="1:9" x14ac:dyDescent="0.4">
      <c r="A16" s="3"/>
      <c r="B16" s="3" t="s">
        <v>22</v>
      </c>
      <c r="C16" s="3"/>
      <c r="D16" s="3"/>
      <c r="E16" s="3"/>
      <c r="F16" s="3"/>
      <c r="G16" s="3"/>
      <c r="H16" s="3"/>
      <c r="I16" s="3"/>
    </row>
    <row r="18" spans="1:11" x14ac:dyDescent="0.4">
      <c r="A18" s="3"/>
      <c r="B18" s="3" t="s">
        <v>23</v>
      </c>
      <c r="C18" s="3"/>
      <c r="D18" s="3"/>
      <c r="E18" s="3"/>
    </row>
    <row r="19" spans="1:11" x14ac:dyDescent="0.4">
      <c r="A19" s="1" t="s">
        <v>25</v>
      </c>
      <c r="B19" s="2" t="s">
        <v>27</v>
      </c>
      <c r="C19" s="3"/>
      <c r="D19" s="3"/>
      <c r="E19" s="3"/>
    </row>
    <row r="20" spans="1:11" x14ac:dyDescent="0.4">
      <c r="A20" s="3"/>
      <c r="B20" s="3"/>
      <c r="C20" s="3"/>
      <c r="D20" s="3"/>
      <c r="E20" s="3"/>
    </row>
    <row r="21" spans="1:11" x14ac:dyDescent="0.4">
      <c r="A21" s="5"/>
      <c r="B21" s="3" t="s">
        <v>24</v>
      </c>
      <c r="C21" s="3"/>
      <c r="D21" s="3"/>
      <c r="E21" s="3"/>
    </row>
    <row r="22" spans="1:11" x14ac:dyDescent="0.4">
      <c r="A22" s="3"/>
      <c r="B22" s="3"/>
      <c r="C22" s="3"/>
      <c r="D22" s="3"/>
      <c r="E22" s="3"/>
    </row>
    <row r="23" spans="1:11" x14ac:dyDescent="0.4">
      <c r="A23" s="1"/>
      <c r="B23" s="3" t="s">
        <v>26</v>
      </c>
      <c r="C23" s="3"/>
      <c r="D23" s="3"/>
      <c r="E23" s="3"/>
    </row>
    <row r="24" spans="1:11" x14ac:dyDescent="0.4">
      <c r="A24" s="3"/>
      <c r="B24" s="3"/>
      <c r="C24" s="3"/>
      <c r="D24" s="3"/>
      <c r="E24" s="3"/>
    </row>
    <row r="26" spans="1:11" ht="29.15" x14ac:dyDescent="0.4">
      <c r="B26" s="6" t="s">
        <v>28</v>
      </c>
      <c r="C26" s="6" t="s">
        <v>29</v>
      </c>
      <c r="D26" s="6" t="s">
        <v>30</v>
      </c>
      <c r="E26" s="6" t="s">
        <v>31</v>
      </c>
      <c r="F26" s="6" t="s">
        <v>32</v>
      </c>
      <c r="G26" s="6" t="s">
        <v>31</v>
      </c>
      <c r="H26" s="7" t="s">
        <v>33</v>
      </c>
      <c r="I26" s="6" t="s">
        <v>34</v>
      </c>
      <c r="J26" s="8" t="s">
        <v>35</v>
      </c>
      <c r="K26" s="8" t="s">
        <v>36</v>
      </c>
    </row>
    <row r="27" spans="1:11" x14ac:dyDescent="0.4">
      <c r="B27" s="3" t="s">
        <v>38</v>
      </c>
      <c r="D27" s="9">
        <v>410001</v>
      </c>
      <c r="E27" t="s">
        <v>37</v>
      </c>
      <c r="F27" s="9">
        <v>705001</v>
      </c>
      <c r="G27" t="s">
        <v>44</v>
      </c>
      <c r="H27" s="10">
        <v>125</v>
      </c>
      <c r="I27" s="9" t="s">
        <v>39</v>
      </c>
      <c r="J27" s="10">
        <v>125</v>
      </c>
      <c r="K27" s="10">
        <f>J27-H27</f>
        <v>0</v>
      </c>
    </row>
    <row r="28" spans="1:11" x14ac:dyDescent="0.4">
      <c r="B28" s="11" t="s">
        <v>40</v>
      </c>
      <c r="C28" s="12"/>
      <c r="D28" s="9">
        <v>410001</v>
      </c>
      <c r="E28" s="3" t="s">
        <v>37</v>
      </c>
      <c r="F28" s="9">
        <v>705001</v>
      </c>
      <c r="G28" s="3" t="s">
        <v>44</v>
      </c>
      <c r="H28" s="10">
        <v>166.67</v>
      </c>
      <c r="I28" s="9" t="s">
        <v>41</v>
      </c>
      <c r="J28" s="10">
        <v>166.67</v>
      </c>
      <c r="K28" s="10">
        <f t="shared" ref="K28:K30" si="0">J28-H28</f>
        <v>0</v>
      </c>
    </row>
    <row r="29" spans="1:11" x14ac:dyDescent="0.4">
      <c r="B29" s="3" t="s">
        <v>42</v>
      </c>
      <c r="D29" s="9">
        <v>410001</v>
      </c>
      <c r="E29" s="3" t="s">
        <v>37</v>
      </c>
      <c r="F29" s="9">
        <v>705001</v>
      </c>
      <c r="G29" s="3" t="s">
        <v>44</v>
      </c>
      <c r="H29" s="10">
        <v>125</v>
      </c>
      <c r="I29" s="9" t="s">
        <v>41</v>
      </c>
      <c r="J29" s="10">
        <v>125</v>
      </c>
      <c r="K29" s="10">
        <f t="shared" si="0"/>
        <v>0</v>
      </c>
    </row>
    <row r="30" spans="1:11" x14ac:dyDescent="0.4">
      <c r="B30" s="3" t="s">
        <v>43</v>
      </c>
      <c r="D30" s="9">
        <v>410001</v>
      </c>
      <c r="E30" s="3" t="s">
        <v>37</v>
      </c>
      <c r="F30" s="9">
        <v>705001</v>
      </c>
      <c r="G30" s="3" t="s">
        <v>44</v>
      </c>
      <c r="H30" s="10">
        <v>83.33</v>
      </c>
      <c r="I30" s="9" t="s">
        <v>41</v>
      </c>
      <c r="J30" s="10">
        <v>83.33</v>
      </c>
      <c r="K30" s="10">
        <f t="shared" si="0"/>
        <v>0</v>
      </c>
    </row>
    <row r="31" spans="1:11" s="3" customFormat="1" x14ac:dyDescent="0.4">
      <c r="B31" s="23" t="s">
        <v>85</v>
      </c>
      <c r="C31" s="24"/>
      <c r="D31" s="25"/>
      <c r="E31" s="24"/>
      <c r="F31" s="26">
        <v>705001</v>
      </c>
      <c r="G31" s="24"/>
      <c r="H31" s="27">
        <f>SUM(H27:H30)</f>
        <v>499.99999999999994</v>
      </c>
      <c r="I31" s="25"/>
      <c r="J31" s="27">
        <f>SUM(J27:J30)</f>
        <v>499.99999999999994</v>
      </c>
      <c r="K31" s="27">
        <f>SUM(K27:K30)</f>
        <v>0</v>
      </c>
    </row>
    <row r="32" spans="1:11" x14ac:dyDescent="0.4">
      <c r="H32" s="10"/>
    </row>
    <row r="33" spans="2:11" x14ac:dyDescent="0.4">
      <c r="B33" s="3" t="s">
        <v>45</v>
      </c>
      <c r="D33" s="9">
        <v>414001</v>
      </c>
      <c r="E33" s="3" t="s">
        <v>46</v>
      </c>
      <c r="F33" s="9">
        <v>702001</v>
      </c>
      <c r="G33" s="9" t="s">
        <v>70</v>
      </c>
      <c r="H33" s="13">
        <v>40817.089999999997</v>
      </c>
      <c r="I33" s="9" t="s">
        <v>47</v>
      </c>
    </row>
    <row r="34" spans="2:11" s="3" customFormat="1" x14ac:dyDescent="0.4">
      <c r="B34" s="3" t="s">
        <v>45</v>
      </c>
      <c r="D34" s="9">
        <v>414001</v>
      </c>
      <c r="E34" s="3" t="s">
        <v>46</v>
      </c>
      <c r="F34" s="9">
        <v>702001</v>
      </c>
      <c r="G34" s="9" t="s">
        <v>70</v>
      </c>
      <c r="H34" s="13">
        <v>680284.83</v>
      </c>
      <c r="I34" s="9" t="s">
        <v>47</v>
      </c>
    </row>
    <row r="35" spans="2:11" s="3" customFormat="1" x14ac:dyDescent="0.4">
      <c r="D35" s="9"/>
      <c r="F35" s="9"/>
      <c r="G35" s="9"/>
      <c r="H35" s="29">
        <f>H33+H34</f>
        <v>721101.91999999993</v>
      </c>
      <c r="I35" s="9"/>
      <c r="J35" s="29">
        <f>H35</f>
        <v>721101.91999999993</v>
      </c>
      <c r="K35" s="10">
        <f>J35-H35</f>
        <v>0</v>
      </c>
    </row>
    <row r="36" spans="2:11" x14ac:dyDescent="0.4">
      <c r="B36" s="3" t="s">
        <v>48</v>
      </c>
      <c r="D36" s="9">
        <v>414001</v>
      </c>
      <c r="E36" s="3" t="s">
        <v>46</v>
      </c>
      <c r="F36" s="9">
        <v>702001</v>
      </c>
      <c r="G36" s="9" t="s">
        <v>70</v>
      </c>
      <c r="H36" s="13">
        <v>670192.22</v>
      </c>
      <c r="I36" s="9" t="s">
        <v>49</v>
      </c>
    </row>
    <row r="37" spans="2:11" s="3" customFormat="1" x14ac:dyDescent="0.4">
      <c r="B37" s="3" t="s">
        <v>48</v>
      </c>
      <c r="D37" s="9">
        <v>414001</v>
      </c>
      <c r="E37" s="3" t="s">
        <v>46</v>
      </c>
      <c r="F37" s="9">
        <v>702001</v>
      </c>
      <c r="G37" s="9" t="s">
        <v>70</v>
      </c>
      <c r="H37" s="13">
        <v>40211.53</v>
      </c>
      <c r="I37" s="9" t="s">
        <v>49</v>
      </c>
    </row>
    <row r="38" spans="2:11" s="3" customFormat="1" x14ac:dyDescent="0.4">
      <c r="D38" s="9"/>
      <c r="F38" s="9"/>
      <c r="G38" s="9"/>
      <c r="H38" s="29">
        <f>H36+H37</f>
        <v>710403.75</v>
      </c>
      <c r="I38" s="9"/>
      <c r="J38" s="30">
        <f>H38</f>
        <v>710403.75</v>
      </c>
      <c r="K38" s="10">
        <f>J38-H38</f>
        <v>0</v>
      </c>
    </row>
    <row r="39" spans="2:11" x14ac:dyDescent="0.4">
      <c r="B39" s="3" t="s">
        <v>50</v>
      </c>
      <c r="D39" s="9">
        <v>414001</v>
      </c>
      <c r="E39" s="3" t="s">
        <v>46</v>
      </c>
      <c r="F39" s="9">
        <v>702001</v>
      </c>
      <c r="G39" s="9" t="s">
        <v>70</v>
      </c>
      <c r="H39" s="13">
        <v>683608.11</v>
      </c>
      <c r="I39" s="9" t="s">
        <v>51</v>
      </c>
    </row>
    <row r="40" spans="2:11" s="3" customFormat="1" x14ac:dyDescent="0.4">
      <c r="B40" s="3" t="s">
        <v>50</v>
      </c>
      <c r="D40" s="9">
        <v>414001</v>
      </c>
      <c r="E40" s="3" t="s">
        <v>46</v>
      </c>
      <c r="F40" s="9">
        <v>702001</v>
      </c>
      <c r="G40" s="9" t="s">
        <v>70</v>
      </c>
      <c r="H40" s="13">
        <v>41016.49</v>
      </c>
      <c r="I40" s="9" t="s">
        <v>51</v>
      </c>
    </row>
    <row r="41" spans="2:11" s="3" customFormat="1" x14ac:dyDescent="0.4">
      <c r="D41" s="9"/>
      <c r="F41" s="9"/>
      <c r="G41" s="9"/>
      <c r="H41" s="29">
        <f>H39+H40</f>
        <v>724624.6</v>
      </c>
      <c r="I41" s="9"/>
      <c r="J41" s="30">
        <f>H41</f>
        <v>724624.6</v>
      </c>
      <c r="K41" s="10">
        <f>J41-H41</f>
        <v>0</v>
      </c>
    </row>
    <row r="42" spans="2:11" x14ac:dyDescent="0.4">
      <c r="B42" s="3" t="s">
        <v>52</v>
      </c>
      <c r="D42" s="9">
        <v>414001</v>
      </c>
      <c r="E42" s="3" t="s">
        <v>46</v>
      </c>
      <c r="F42" s="9">
        <v>702001</v>
      </c>
      <c r="G42" s="9" t="s">
        <v>70</v>
      </c>
      <c r="H42" s="13">
        <v>41595.269999999997</v>
      </c>
      <c r="I42" s="9" t="s">
        <v>53</v>
      </c>
    </row>
    <row r="43" spans="2:11" s="3" customFormat="1" x14ac:dyDescent="0.4">
      <c r="B43" s="3" t="s">
        <v>52</v>
      </c>
      <c r="D43" s="9">
        <v>414001</v>
      </c>
      <c r="E43" s="3" t="s">
        <v>46</v>
      </c>
      <c r="F43" s="9">
        <v>702001</v>
      </c>
      <c r="G43" s="9" t="s">
        <v>70</v>
      </c>
      <c r="H43" s="13">
        <v>693254.53</v>
      </c>
      <c r="I43" s="9" t="s">
        <v>53</v>
      </c>
    </row>
    <row r="44" spans="2:11" s="3" customFormat="1" x14ac:dyDescent="0.4">
      <c r="D44" s="9"/>
      <c r="F44" s="9"/>
      <c r="G44" s="9"/>
      <c r="H44" s="29">
        <f>H42+H43</f>
        <v>734849.8</v>
      </c>
      <c r="I44" s="9"/>
      <c r="J44" s="30">
        <f>H44</f>
        <v>734849.8</v>
      </c>
      <c r="K44" s="10">
        <f>J44-H44</f>
        <v>0</v>
      </c>
    </row>
    <row r="45" spans="2:11" s="3" customFormat="1" x14ac:dyDescent="0.4">
      <c r="B45" s="3" t="s">
        <v>66</v>
      </c>
      <c r="D45" s="9">
        <v>414001</v>
      </c>
      <c r="E45" s="3" t="s">
        <v>46</v>
      </c>
      <c r="F45" s="9">
        <v>702001</v>
      </c>
      <c r="G45" s="9" t="s">
        <v>70</v>
      </c>
      <c r="H45" s="13">
        <v>693169.44</v>
      </c>
      <c r="I45" s="9" t="s">
        <v>67</v>
      </c>
    </row>
    <row r="46" spans="2:11" s="3" customFormat="1" ht="29.15" x14ac:dyDescent="0.4">
      <c r="B46" s="3" t="s">
        <v>66</v>
      </c>
      <c r="D46" s="9">
        <v>414001</v>
      </c>
      <c r="E46" s="3" t="s">
        <v>46</v>
      </c>
      <c r="F46" s="9">
        <v>702002</v>
      </c>
      <c r="G46" s="15" t="s">
        <v>71</v>
      </c>
      <c r="H46" s="14">
        <v>41590.17</v>
      </c>
      <c r="I46" s="9" t="s">
        <v>67</v>
      </c>
    </row>
    <row r="47" spans="2:11" s="3" customFormat="1" x14ac:dyDescent="0.4">
      <c r="D47" s="9"/>
      <c r="F47" s="9"/>
      <c r="G47" s="9"/>
      <c r="H47" s="31">
        <f>H45+H46</f>
        <v>734759.61</v>
      </c>
      <c r="I47" s="9"/>
      <c r="J47" s="30">
        <f>H47</f>
        <v>734759.61</v>
      </c>
      <c r="K47" s="10">
        <f>J47-H47</f>
        <v>0</v>
      </c>
    </row>
    <row r="48" spans="2:11" s="3" customFormat="1" x14ac:dyDescent="0.4">
      <c r="B48" s="3" t="s">
        <v>68</v>
      </c>
      <c r="D48" s="9">
        <v>414001</v>
      </c>
      <c r="E48" s="3" t="s">
        <v>46</v>
      </c>
      <c r="F48" s="9">
        <v>702001</v>
      </c>
      <c r="G48" s="9" t="s">
        <v>70</v>
      </c>
      <c r="H48" s="13">
        <v>699079.58</v>
      </c>
      <c r="I48" s="9" t="s">
        <v>69</v>
      </c>
      <c r="J48" s="30"/>
    </row>
    <row r="49" spans="2:11" s="3" customFormat="1" ht="29.15" x14ac:dyDescent="0.4">
      <c r="B49" s="3" t="s">
        <v>68</v>
      </c>
      <c r="D49" s="9">
        <v>414001</v>
      </c>
      <c r="E49" s="3" t="s">
        <v>46</v>
      </c>
      <c r="F49" s="9">
        <v>702002</v>
      </c>
      <c r="G49" s="15" t="s">
        <v>71</v>
      </c>
      <c r="H49" s="14">
        <v>41944.78</v>
      </c>
      <c r="I49" s="9" t="s">
        <v>69</v>
      </c>
      <c r="J49" s="30"/>
    </row>
    <row r="50" spans="2:11" s="3" customFormat="1" x14ac:dyDescent="0.4">
      <c r="D50" s="9"/>
      <c r="F50" s="9"/>
      <c r="G50" s="9"/>
      <c r="H50" s="31">
        <f>H48+H49</f>
        <v>741024.36</v>
      </c>
      <c r="I50" s="9"/>
      <c r="J50" s="30">
        <f>H50</f>
        <v>741024.36</v>
      </c>
      <c r="K50" s="10">
        <f>J50-H50</f>
        <v>0</v>
      </c>
    </row>
    <row r="51" spans="2:11" x14ac:dyDescent="0.4">
      <c r="B51" s="3" t="s">
        <v>54</v>
      </c>
      <c r="D51" s="9">
        <v>414001</v>
      </c>
      <c r="E51" s="3" t="s">
        <v>46</v>
      </c>
      <c r="F51" s="9">
        <v>702001</v>
      </c>
      <c r="G51" s="9" t="s">
        <v>70</v>
      </c>
      <c r="H51" s="13">
        <v>753269.41</v>
      </c>
      <c r="I51" s="9" t="s">
        <v>56</v>
      </c>
      <c r="J51" s="30"/>
    </row>
    <row r="52" spans="2:11" s="3" customFormat="1" ht="29.15" x14ac:dyDescent="0.4">
      <c r="B52" s="3" t="s">
        <v>54</v>
      </c>
      <c r="D52" s="9">
        <v>414001</v>
      </c>
      <c r="E52" s="3" t="s">
        <v>46</v>
      </c>
      <c r="F52" s="9">
        <v>702002</v>
      </c>
      <c r="G52" s="15" t="s">
        <v>71</v>
      </c>
      <c r="H52" s="14">
        <v>45196.160000000003</v>
      </c>
      <c r="I52" s="9" t="s">
        <v>56</v>
      </c>
      <c r="J52" s="30"/>
    </row>
    <row r="53" spans="2:11" s="3" customFormat="1" x14ac:dyDescent="0.4">
      <c r="D53" s="9"/>
      <c r="F53" s="9"/>
      <c r="G53" s="9"/>
      <c r="H53" s="31">
        <f>H51+H52</f>
        <v>798465.57000000007</v>
      </c>
      <c r="I53" s="9"/>
      <c r="J53" s="30">
        <f>H53</f>
        <v>798465.57000000007</v>
      </c>
      <c r="K53" s="10">
        <f>J53-H53</f>
        <v>0</v>
      </c>
    </row>
    <row r="54" spans="2:11" x14ac:dyDescent="0.4">
      <c r="B54" s="3" t="s">
        <v>55</v>
      </c>
      <c r="D54" s="9">
        <v>414001</v>
      </c>
      <c r="E54" s="3" t="s">
        <v>46</v>
      </c>
      <c r="F54" s="9">
        <v>702001</v>
      </c>
      <c r="G54" s="9" t="s">
        <v>70</v>
      </c>
      <c r="H54" s="13">
        <v>702547.42</v>
      </c>
      <c r="I54" s="9" t="s">
        <v>57</v>
      </c>
      <c r="J54" s="30"/>
    </row>
    <row r="55" spans="2:11" s="3" customFormat="1" ht="29.15" x14ac:dyDescent="0.4">
      <c r="B55" s="3" t="s">
        <v>55</v>
      </c>
      <c r="D55" s="9">
        <v>414001</v>
      </c>
      <c r="E55" s="3" t="s">
        <v>46</v>
      </c>
      <c r="F55" s="9">
        <v>702002</v>
      </c>
      <c r="G55" s="15" t="s">
        <v>71</v>
      </c>
      <c r="H55" s="14">
        <v>42152.85</v>
      </c>
      <c r="I55" s="9" t="s">
        <v>57</v>
      </c>
      <c r="J55" s="30"/>
    </row>
    <row r="56" spans="2:11" s="3" customFormat="1" x14ac:dyDescent="0.4">
      <c r="D56" s="9"/>
      <c r="F56" s="9"/>
      <c r="G56" s="9"/>
      <c r="H56" s="31">
        <f>H54+H55</f>
        <v>744700.27</v>
      </c>
      <c r="I56" s="9"/>
      <c r="J56" s="30">
        <f>H56</f>
        <v>744700.27</v>
      </c>
      <c r="K56" s="10">
        <f>J56-H56</f>
        <v>0</v>
      </c>
    </row>
    <row r="57" spans="2:11" x14ac:dyDescent="0.4">
      <c r="B57" s="3" t="s">
        <v>58</v>
      </c>
      <c r="D57" s="9">
        <v>414001</v>
      </c>
      <c r="E57" s="3" t="s">
        <v>46</v>
      </c>
      <c r="F57" s="9">
        <v>702001</v>
      </c>
      <c r="G57" s="9" t="s">
        <v>70</v>
      </c>
      <c r="H57" s="13">
        <v>752122.41</v>
      </c>
      <c r="I57" s="9" t="s">
        <v>59</v>
      </c>
      <c r="J57" s="30"/>
    </row>
    <row r="58" spans="2:11" s="3" customFormat="1" ht="29.15" x14ac:dyDescent="0.4">
      <c r="B58" s="3" t="s">
        <v>58</v>
      </c>
      <c r="D58" s="9">
        <v>414001</v>
      </c>
      <c r="E58" s="3" t="s">
        <v>46</v>
      </c>
      <c r="F58" s="9">
        <v>702002</v>
      </c>
      <c r="G58" s="15" t="s">
        <v>71</v>
      </c>
      <c r="H58" s="13">
        <v>45127.34</v>
      </c>
      <c r="I58" s="9" t="s">
        <v>59</v>
      </c>
      <c r="J58" s="30"/>
    </row>
    <row r="59" spans="2:11" s="3" customFormat="1" x14ac:dyDescent="0.4">
      <c r="D59" s="9"/>
      <c r="F59" s="9"/>
      <c r="G59" s="9"/>
      <c r="H59" s="31">
        <f>H57+H58</f>
        <v>797249.75</v>
      </c>
      <c r="I59" s="9"/>
      <c r="J59" s="30">
        <f>H59</f>
        <v>797249.75</v>
      </c>
      <c r="K59" s="10">
        <f>J59-H59</f>
        <v>0</v>
      </c>
    </row>
    <row r="60" spans="2:11" x14ac:dyDescent="0.4">
      <c r="B60" s="3" t="s">
        <v>60</v>
      </c>
      <c r="D60" s="9">
        <v>414001</v>
      </c>
      <c r="E60" s="3" t="s">
        <v>46</v>
      </c>
      <c r="F60" s="9">
        <v>702001</v>
      </c>
      <c r="G60" s="9" t="s">
        <v>70</v>
      </c>
      <c r="H60" s="13">
        <v>779310.46</v>
      </c>
      <c r="I60" s="9" t="s">
        <v>61</v>
      </c>
      <c r="J60" s="30"/>
    </row>
    <row r="61" spans="2:11" s="3" customFormat="1" ht="29.15" x14ac:dyDescent="0.4">
      <c r="B61" s="3" t="s">
        <v>60</v>
      </c>
      <c r="D61" s="9">
        <v>414001</v>
      </c>
      <c r="E61" s="3" t="s">
        <v>46</v>
      </c>
      <c r="F61" s="9">
        <v>702002</v>
      </c>
      <c r="G61" s="15" t="s">
        <v>71</v>
      </c>
      <c r="H61" s="13">
        <v>46758.63</v>
      </c>
      <c r="I61" s="9" t="s">
        <v>61</v>
      </c>
      <c r="J61" s="30"/>
    </row>
    <row r="62" spans="2:11" s="3" customFormat="1" x14ac:dyDescent="0.4">
      <c r="D62" s="9"/>
      <c r="F62" s="9"/>
      <c r="G62" s="9"/>
      <c r="H62" s="31">
        <f>H60+H61</f>
        <v>826069.09</v>
      </c>
      <c r="I62" s="9"/>
      <c r="J62" s="30">
        <f>H62</f>
        <v>826069.09</v>
      </c>
      <c r="K62" s="10">
        <f>J62-H62</f>
        <v>0</v>
      </c>
    </row>
    <row r="63" spans="2:11" x14ac:dyDescent="0.4">
      <c r="B63" s="3" t="s">
        <v>62</v>
      </c>
      <c r="D63" s="9">
        <v>414001</v>
      </c>
      <c r="E63" s="3" t="s">
        <v>46</v>
      </c>
      <c r="F63" s="9">
        <v>702001</v>
      </c>
      <c r="G63" s="9" t="s">
        <v>70</v>
      </c>
      <c r="H63" s="13">
        <v>854242.53</v>
      </c>
      <c r="I63" s="9" t="s">
        <v>63</v>
      </c>
      <c r="J63" s="30"/>
    </row>
    <row r="64" spans="2:11" s="3" customFormat="1" ht="29.15" x14ac:dyDescent="0.4">
      <c r="B64" s="3" t="s">
        <v>62</v>
      </c>
      <c r="D64" s="9">
        <v>414001</v>
      </c>
      <c r="E64" s="3" t="s">
        <v>46</v>
      </c>
      <c r="F64" s="9">
        <v>702002</v>
      </c>
      <c r="G64" s="15" t="s">
        <v>71</v>
      </c>
      <c r="H64" s="13">
        <v>51254.55</v>
      </c>
      <c r="I64" s="9" t="s">
        <v>63</v>
      </c>
      <c r="J64" s="30"/>
    </row>
    <row r="65" spans="2:11" s="3" customFormat="1" x14ac:dyDescent="0.4">
      <c r="D65" s="9"/>
      <c r="F65" s="9"/>
      <c r="G65" s="9"/>
      <c r="H65" s="31">
        <f>H63+H64</f>
        <v>905497.08000000007</v>
      </c>
      <c r="I65" s="9"/>
      <c r="J65" s="30">
        <f>H65</f>
        <v>905497.08000000007</v>
      </c>
      <c r="K65" s="10">
        <f>J65-H65</f>
        <v>0</v>
      </c>
    </row>
    <row r="66" spans="2:11" x14ac:dyDescent="0.4">
      <c r="B66" s="3" t="s">
        <v>64</v>
      </c>
      <c r="D66" s="9">
        <v>414001</v>
      </c>
      <c r="E66" s="3" t="s">
        <v>46</v>
      </c>
      <c r="F66" s="9">
        <v>702001</v>
      </c>
      <c r="G66" s="9" t="s">
        <v>70</v>
      </c>
      <c r="H66" s="13">
        <v>895252.09</v>
      </c>
      <c r="I66" s="9" t="s">
        <v>65</v>
      </c>
      <c r="J66" s="30"/>
    </row>
    <row r="67" spans="2:11" ht="29.15" x14ac:dyDescent="0.4">
      <c r="B67" s="3" t="s">
        <v>64</v>
      </c>
      <c r="C67" s="3"/>
      <c r="D67" s="9">
        <v>414001</v>
      </c>
      <c r="E67" s="3" t="s">
        <v>46</v>
      </c>
      <c r="F67" s="9">
        <v>702002</v>
      </c>
      <c r="G67" s="15" t="s">
        <v>71</v>
      </c>
      <c r="H67" s="3">
        <v>53715.13</v>
      </c>
      <c r="I67" s="9" t="s">
        <v>65</v>
      </c>
      <c r="J67" s="30"/>
    </row>
    <row r="68" spans="2:11" x14ac:dyDescent="0.4">
      <c r="D68" s="9"/>
      <c r="F68" s="9"/>
      <c r="G68" s="9"/>
      <c r="H68" s="30">
        <f>H66+H67</f>
        <v>948967.22</v>
      </c>
      <c r="I68" s="9"/>
      <c r="J68" s="30">
        <f>H68</f>
        <v>948967.22</v>
      </c>
      <c r="K68" s="10">
        <f>J68-H68</f>
        <v>0</v>
      </c>
    </row>
    <row r="69" spans="2:11" s="3" customFormat="1" x14ac:dyDescent="0.4">
      <c r="D69" s="9"/>
      <c r="F69" s="9"/>
      <c r="G69" s="9"/>
      <c r="H69" s="30"/>
      <c r="I69" s="9"/>
      <c r="J69" s="30"/>
      <c r="K69" s="10"/>
    </row>
    <row r="70" spans="2:11" s="3" customFormat="1" x14ac:dyDescent="0.4">
      <c r="B70" s="34" t="s">
        <v>85</v>
      </c>
      <c r="C70" s="24"/>
      <c r="D70" s="25"/>
      <c r="E70" s="24"/>
      <c r="F70" s="26">
        <v>702001</v>
      </c>
      <c r="G70" s="25"/>
      <c r="H70" s="32">
        <f>H35+H38+H41+H44+H45+H48+H51+H54+H57+H60+H63+H66</f>
        <v>9019973.4100000001</v>
      </c>
      <c r="I70" s="25"/>
      <c r="J70" s="32"/>
      <c r="K70" s="33"/>
    </row>
    <row r="71" spans="2:11" s="3" customFormat="1" x14ac:dyDescent="0.4">
      <c r="B71" s="34" t="s">
        <v>85</v>
      </c>
      <c r="C71" s="24"/>
      <c r="D71" s="25"/>
      <c r="E71" s="24"/>
      <c r="F71" s="26">
        <v>702002</v>
      </c>
      <c r="G71" s="25"/>
      <c r="H71" s="32">
        <f>H46+H49+H52+H55+H58+H61+H64+H67</f>
        <v>367739.61</v>
      </c>
      <c r="I71" s="25"/>
      <c r="J71" s="32"/>
      <c r="K71" s="33"/>
    </row>
    <row r="72" spans="2:11" x14ac:dyDescent="0.4">
      <c r="D72" s="9"/>
      <c r="F72" s="9"/>
      <c r="G72" s="9"/>
      <c r="I72" s="9"/>
    </row>
    <row r="73" spans="2:11" ht="43.75" x14ac:dyDescent="0.4">
      <c r="B73" s="16">
        <v>43103</v>
      </c>
      <c r="D73" s="9">
        <v>422001</v>
      </c>
      <c r="E73" t="s">
        <v>74</v>
      </c>
      <c r="F73" s="9">
        <v>709101</v>
      </c>
      <c r="G73" s="2" t="s">
        <v>72</v>
      </c>
      <c r="H73">
        <v>729.77</v>
      </c>
      <c r="I73" s="17" t="s">
        <v>73</v>
      </c>
    </row>
    <row r="74" spans="2:11" x14ac:dyDescent="0.4">
      <c r="D74" s="9"/>
      <c r="F74" s="9"/>
      <c r="G74" s="9"/>
    </row>
    <row r="75" spans="2:11" x14ac:dyDescent="0.4">
      <c r="B75" s="34" t="s">
        <v>85</v>
      </c>
      <c r="C75" s="24"/>
      <c r="D75" s="25"/>
      <c r="E75" s="24"/>
      <c r="F75" s="26">
        <v>709101</v>
      </c>
      <c r="G75" s="25"/>
      <c r="H75" s="32">
        <v>729.77</v>
      </c>
      <c r="I75" s="24"/>
      <c r="J75" s="24"/>
      <c r="K75" s="28"/>
    </row>
    <row r="76" spans="2:11" x14ac:dyDescent="0.4">
      <c r="D76" s="9"/>
      <c r="F76" s="9"/>
      <c r="G76" s="9"/>
    </row>
    <row r="77" spans="2:11" x14ac:dyDescent="0.4">
      <c r="D77" s="9"/>
      <c r="F77" s="9"/>
      <c r="G77" s="9"/>
    </row>
    <row r="78" spans="2:11" x14ac:dyDescent="0.4">
      <c r="F78" s="9"/>
      <c r="G78" s="9"/>
    </row>
    <row r="79" spans="2:11" x14ac:dyDescent="0.4">
      <c r="F79" s="9"/>
      <c r="G79" s="9"/>
    </row>
    <row r="80" spans="2:11" x14ac:dyDescent="0.4">
      <c r="B80" s="18" t="s">
        <v>75</v>
      </c>
      <c r="C80" s="3"/>
      <c r="D80" s="3"/>
      <c r="E80" s="3"/>
      <c r="F80" s="3"/>
      <c r="G80" s="3"/>
      <c r="H80" s="3"/>
      <c r="I80" s="3"/>
    </row>
    <row r="81" spans="2:11" ht="15" thickBot="1" x14ac:dyDescent="0.45">
      <c r="B81" s="3"/>
      <c r="C81" s="3"/>
      <c r="D81" s="3"/>
      <c r="E81" s="3"/>
      <c r="F81" s="3"/>
      <c r="G81" s="3"/>
      <c r="H81" s="3"/>
      <c r="I81" s="3"/>
    </row>
    <row r="82" spans="2:11" ht="44.15" thickBot="1" x14ac:dyDescent="0.45">
      <c r="B82" s="49" t="s">
        <v>76</v>
      </c>
      <c r="C82" s="50"/>
      <c r="D82" s="3"/>
      <c r="E82" s="19" t="s">
        <v>86</v>
      </c>
      <c r="F82" s="3"/>
      <c r="G82" s="19" t="s">
        <v>88</v>
      </c>
      <c r="H82" s="3"/>
      <c r="I82" s="19" t="s">
        <v>92</v>
      </c>
      <c r="K82" s="19" t="s">
        <v>90</v>
      </c>
    </row>
    <row r="83" spans="2:11" ht="15" thickBot="1" x14ac:dyDescent="0.45">
      <c r="B83" s="3"/>
      <c r="C83" s="3"/>
      <c r="D83" s="3"/>
      <c r="E83" s="3"/>
      <c r="F83" s="3"/>
      <c r="G83" s="3"/>
      <c r="H83" s="3"/>
      <c r="I83" s="3"/>
      <c r="K83" s="3"/>
    </row>
    <row r="84" spans="2:11" ht="29.6" thickBot="1" x14ac:dyDescent="0.45">
      <c r="B84" s="20" t="s">
        <v>77</v>
      </c>
      <c r="C84" s="3"/>
      <c r="D84" s="3"/>
      <c r="E84" s="19" t="s">
        <v>87</v>
      </c>
      <c r="F84" s="3"/>
      <c r="G84" s="19" t="s">
        <v>89</v>
      </c>
      <c r="H84" s="3"/>
      <c r="I84" s="19" t="s">
        <v>93</v>
      </c>
      <c r="K84" s="19" t="s">
        <v>91</v>
      </c>
    </row>
    <row r="85" spans="2:11" ht="15" thickBot="1" x14ac:dyDescent="0.45">
      <c r="B85" s="3"/>
      <c r="C85" s="3"/>
      <c r="D85" s="3"/>
      <c r="E85" s="3"/>
      <c r="F85" s="3"/>
      <c r="G85" s="3"/>
      <c r="H85" s="3"/>
      <c r="I85" s="3"/>
      <c r="K85" s="3"/>
    </row>
    <row r="86" spans="2:11" ht="45.75" customHeight="1" thickBot="1" x14ac:dyDescent="0.45">
      <c r="B86" s="49" t="s">
        <v>78</v>
      </c>
      <c r="C86" s="49"/>
      <c r="D86" s="3"/>
      <c r="E86" s="19" t="s">
        <v>79</v>
      </c>
      <c r="F86" s="3"/>
      <c r="G86" s="19" t="s">
        <v>79</v>
      </c>
      <c r="H86" s="3"/>
      <c r="I86" s="19" t="s">
        <v>79</v>
      </c>
      <c r="K86" s="19" t="s">
        <v>79</v>
      </c>
    </row>
    <row r="87" spans="2:11" x14ac:dyDescent="0.4">
      <c r="B87" s="20"/>
      <c r="C87" s="20"/>
      <c r="D87" s="3"/>
      <c r="E87" s="21"/>
      <c r="F87" s="3"/>
      <c r="G87" s="3"/>
      <c r="H87" s="3"/>
      <c r="I87" s="3"/>
    </row>
    <row r="88" spans="2:11" ht="15" thickBot="1" x14ac:dyDescent="0.45">
      <c r="B88" s="49" t="s">
        <v>80</v>
      </c>
      <c r="C88" s="49"/>
      <c r="D88" s="3"/>
      <c r="E88" s="3"/>
      <c r="F88" s="3"/>
      <c r="G88" s="3"/>
      <c r="H88" s="3"/>
      <c r="I88" s="3"/>
    </row>
    <row r="89" spans="2:11" x14ac:dyDescent="0.4">
      <c r="B89" s="49"/>
      <c r="C89" s="49"/>
      <c r="D89" s="3"/>
      <c r="E89" s="40" t="s">
        <v>81</v>
      </c>
      <c r="F89" s="51"/>
      <c r="G89" s="51"/>
      <c r="H89" s="42"/>
      <c r="I89" s="3"/>
    </row>
    <row r="90" spans="2:11" x14ac:dyDescent="0.4">
      <c r="B90" s="3"/>
      <c r="C90" s="3"/>
      <c r="D90" s="3"/>
      <c r="E90" s="52"/>
      <c r="F90" s="53"/>
      <c r="G90" s="53"/>
      <c r="H90" s="45"/>
      <c r="I90" s="3"/>
    </row>
    <row r="91" spans="2:11" ht="15" thickBot="1" x14ac:dyDescent="0.45">
      <c r="B91" s="3"/>
      <c r="C91" s="3"/>
      <c r="D91" s="3"/>
      <c r="E91" s="46"/>
      <c r="F91" s="47"/>
      <c r="G91" s="47"/>
      <c r="H91" s="48"/>
      <c r="I91" s="3"/>
    </row>
    <row r="92" spans="2:11" ht="15" thickBot="1" x14ac:dyDescent="0.45">
      <c r="B92" s="3"/>
      <c r="C92" s="3"/>
      <c r="D92" s="3"/>
      <c r="E92" s="3"/>
      <c r="F92" s="3"/>
      <c r="G92" s="3"/>
      <c r="H92" s="3"/>
      <c r="I92" s="3"/>
    </row>
    <row r="93" spans="2:11" ht="15" customHeight="1" x14ac:dyDescent="0.4">
      <c r="B93" s="22" t="s">
        <v>82</v>
      </c>
      <c r="C93" s="3"/>
      <c r="D93" s="3"/>
      <c r="E93" s="40" t="s">
        <v>83</v>
      </c>
      <c r="F93" s="41"/>
      <c r="G93" s="41"/>
      <c r="H93" s="42"/>
      <c r="I93" s="3"/>
    </row>
    <row r="94" spans="2:11" x14ac:dyDescent="0.4">
      <c r="B94" s="3"/>
      <c r="C94" s="3"/>
      <c r="D94" s="3"/>
      <c r="E94" s="43"/>
      <c r="F94" s="44"/>
      <c r="G94" s="44"/>
      <c r="H94" s="45"/>
      <c r="I94" s="3"/>
    </row>
    <row r="95" spans="2:11" x14ac:dyDescent="0.4">
      <c r="B95" s="3"/>
      <c r="C95" s="3"/>
      <c r="D95" s="3"/>
      <c r="E95" s="43"/>
      <c r="F95" s="44"/>
      <c r="G95" s="44"/>
      <c r="H95" s="45"/>
      <c r="I95" s="3"/>
    </row>
    <row r="96" spans="2:11" ht="15" thickBot="1" x14ac:dyDescent="0.45">
      <c r="B96" s="3"/>
      <c r="C96" s="3"/>
      <c r="D96" s="3"/>
      <c r="E96" s="46"/>
      <c r="F96" s="47"/>
      <c r="G96" s="47"/>
      <c r="H96" s="48"/>
      <c r="I96" s="3"/>
    </row>
    <row r="97" spans="2:9" x14ac:dyDescent="0.4">
      <c r="B97" s="3"/>
      <c r="C97" s="3"/>
      <c r="D97" s="3"/>
      <c r="E97" s="3"/>
      <c r="F97" s="3"/>
      <c r="G97" s="3"/>
      <c r="H97" s="3"/>
      <c r="I97" s="3"/>
    </row>
    <row r="98" spans="2:9" ht="15" thickBot="1" x14ac:dyDescent="0.45">
      <c r="B98" s="3"/>
      <c r="C98" s="3"/>
      <c r="D98" s="3"/>
      <c r="E98" s="3"/>
      <c r="F98" s="3"/>
      <c r="G98" s="3"/>
      <c r="H98" s="3"/>
      <c r="I98" s="3"/>
    </row>
    <row r="99" spans="2:9" ht="15" customHeight="1" x14ac:dyDescent="0.4">
      <c r="B99" s="22" t="s">
        <v>84</v>
      </c>
      <c r="C99" s="3"/>
      <c r="D99" s="3"/>
      <c r="E99" s="40" t="s">
        <v>94</v>
      </c>
      <c r="F99" s="41"/>
      <c r="G99" s="41"/>
      <c r="H99" s="41"/>
      <c r="I99" s="42"/>
    </row>
    <row r="100" spans="2:9" x14ac:dyDescent="0.4">
      <c r="B100" s="3"/>
      <c r="C100" s="3"/>
      <c r="D100" s="3"/>
      <c r="E100" s="43"/>
      <c r="F100" s="44"/>
      <c r="G100" s="44"/>
      <c r="H100" s="44"/>
      <c r="I100" s="45"/>
    </row>
    <row r="101" spans="2:9" x14ac:dyDescent="0.4">
      <c r="B101" s="3"/>
      <c r="C101" s="3"/>
      <c r="D101" s="3"/>
      <c r="E101" s="43"/>
      <c r="F101" s="44"/>
      <c r="G101" s="44"/>
      <c r="H101" s="44"/>
      <c r="I101" s="45"/>
    </row>
    <row r="102" spans="2:9" x14ac:dyDescent="0.4">
      <c r="B102" s="3"/>
      <c r="C102" s="3"/>
      <c r="D102" s="3"/>
      <c r="E102" s="43"/>
      <c r="F102" s="44"/>
      <c r="G102" s="44"/>
      <c r="H102" s="44"/>
      <c r="I102" s="45"/>
    </row>
    <row r="103" spans="2:9" x14ac:dyDescent="0.4">
      <c r="B103" s="3"/>
      <c r="C103" s="3"/>
      <c r="D103" s="3"/>
      <c r="E103" s="43"/>
      <c r="F103" s="44"/>
      <c r="G103" s="44"/>
      <c r="H103" s="44"/>
      <c r="I103" s="45"/>
    </row>
    <row r="104" spans="2:9" x14ac:dyDescent="0.4">
      <c r="B104" s="3"/>
      <c r="C104" s="3"/>
      <c r="D104" s="3"/>
      <c r="E104" s="43"/>
      <c r="F104" s="44"/>
      <c r="G104" s="44"/>
      <c r="H104" s="44"/>
      <c r="I104" s="45"/>
    </row>
    <row r="105" spans="2:9" x14ac:dyDescent="0.4">
      <c r="B105" s="3"/>
      <c r="C105" s="3"/>
      <c r="D105" s="3"/>
      <c r="E105" s="43"/>
      <c r="F105" s="44"/>
      <c r="G105" s="44"/>
      <c r="H105" s="44"/>
      <c r="I105" s="45"/>
    </row>
    <row r="106" spans="2:9" x14ac:dyDescent="0.4">
      <c r="B106" s="3"/>
      <c r="C106" s="3"/>
      <c r="D106" s="3"/>
      <c r="E106" s="43"/>
      <c r="F106" s="44"/>
      <c r="G106" s="44"/>
      <c r="H106" s="44"/>
      <c r="I106" s="45"/>
    </row>
    <row r="107" spans="2:9" ht="15" thickBot="1" x14ac:dyDescent="0.45">
      <c r="B107" s="3"/>
      <c r="C107" s="3"/>
      <c r="D107" s="3"/>
      <c r="E107" s="46"/>
      <c r="F107" s="47"/>
      <c r="G107" s="47"/>
      <c r="H107" s="47"/>
      <c r="I107" s="48"/>
    </row>
    <row r="108" spans="2:9" x14ac:dyDescent="0.4">
      <c r="B108" s="3"/>
      <c r="C108" s="3"/>
      <c r="D108" s="3"/>
      <c r="E108" s="3"/>
      <c r="F108" s="3"/>
      <c r="G108" s="3"/>
      <c r="H108" s="3"/>
      <c r="I108" s="3"/>
    </row>
    <row r="109" spans="2:9" x14ac:dyDescent="0.4">
      <c r="B109" s="3"/>
      <c r="C109" s="3"/>
      <c r="D109" s="3"/>
      <c r="E109" s="3"/>
      <c r="F109" s="3"/>
      <c r="G109" s="3"/>
      <c r="H109" s="3"/>
      <c r="I109" s="3"/>
    </row>
  </sheetData>
  <mergeCells count="28">
    <mergeCell ref="E93:H96"/>
    <mergeCell ref="E99:I107"/>
    <mergeCell ref="B82:C82"/>
    <mergeCell ref="B86:C86"/>
    <mergeCell ref="B88:C89"/>
    <mergeCell ref="E89:H91"/>
    <mergeCell ref="C6:D6"/>
    <mergeCell ref="E6:F6"/>
    <mergeCell ref="G6:H6"/>
    <mergeCell ref="E7:H7"/>
    <mergeCell ref="B8:D8"/>
    <mergeCell ref="E8:H8"/>
    <mergeCell ref="B7:D7"/>
    <mergeCell ref="C1:D1"/>
    <mergeCell ref="E1:F1"/>
    <mergeCell ref="G1:H1"/>
    <mergeCell ref="C2:D2"/>
    <mergeCell ref="E2:F2"/>
    <mergeCell ref="G2:H2"/>
    <mergeCell ref="C5:D5"/>
    <mergeCell ref="E5:F5"/>
    <mergeCell ref="G5:H5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2021-04-17T11:40:12Z</dcterms:created>
  <dcterms:modified xsi:type="dcterms:W3CDTF">2025-07-15T11:13:52Z</dcterms:modified>
</cp:coreProperties>
</file>