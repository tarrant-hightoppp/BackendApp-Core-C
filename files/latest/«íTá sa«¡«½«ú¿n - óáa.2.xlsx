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svet\Downloads\"/>
    </mc:Choice>
  </mc:AlternateContent>
  <xr:revisionPtr revIDLastSave="0" documentId="13_ncr:1_{7F772CBF-D185-4E08-8419-4D0B77D273F5}" xr6:coauthVersionLast="47" xr6:coauthVersionMax="47" xr10:uidLastSave="{00000000-0000-0000-0000-000000000000}"/>
  <bookViews>
    <workbookView xWindow="-30828" yWindow="-108" windowWidth="30936" windowHeight="17496" xr2:uid="{00000000-000D-0000-FFFF-FFFF00000000}"/>
  </bookViews>
  <sheets>
    <sheet name="Sheet1" sheetId="3" r:id="rId1"/>
  </sheets>
  <definedNames>
    <definedName name="_xlnm._FilterDatabase" localSheetId="0" hidden="1">Sheet1!$A$1:$M$51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1" i="3" l="1"/>
  <c r="P50" i="3"/>
  <c r="P49" i="3"/>
  <c r="P48" i="3"/>
  <c r="P47" i="3"/>
  <c r="P46" i="3"/>
  <c r="P45" i="3"/>
  <c r="P44" i="3"/>
  <c r="P43" i="3"/>
  <c r="P42" i="3"/>
  <c r="P41" i="3"/>
  <c r="P40" i="3"/>
  <c r="P39" i="3"/>
  <c r="P38" i="3"/>
  <c r="P37" i="3"/>
  <c r="P36" i="3"/>
  <c r="P35" i="3"/>
  <c r="P34" i="3"/>
  <c r="P33" i="3"/>
  <c r="P32" i="3"/>
  <c r="P31" i="3"/>
  <c r="P30" i="3"/>
  <c r="P29" i="3"/>
  <c r="P28" i="3"/>
  <c r="P27" i="3"/>
  <c r="P26" i="3"/>
  <c r="P25" i="3"/>
  <c r="P24" i="3"/>
  <c r="P23" i="3"/>
  <c r="P22" i="3"/>
  <c r="P21" i="3"/>
  <c r="P20" i="3"/>
  <c r="P19" i="3"/>
  <c r="P18" i="3"/>
  <c r="P17" i="3"/>
  <c r="P16" i="3"/>
  <c r="P15" i="3"/>
  <c r="P14" i="3"/>
  <c r="P13" i="3"/>
  <c r="P12" i="3"/>
  <c r="P11" i="3"/>
  <c r="P10" i="3"/>
  <c r="P9" i="3"/>
  <c r="P8" i="3"/>
  <c r="P7" i="3"/>
  <c r="P6" i="3"/>
  <c r="P5" i="3"/>
  <c r="P4" i="3"/>
  <c r="P3" i="3"/>
  <c r="P2" i="3" l="1"/>
</calcChain>
</file>

<file path=xl/sharedStrings.xml><?xml version="1.0" encoding="utf-8"?>
<sst xmlns="http://schemas.openxmlformats.org/spreadsheetml/2006/main" count="618" uniqueCount="149">
  <si>
    <t xml:space="preserve"> Дата рег. </t>
  </si>
  <si>
    <t xml:space="preserve"> Вид док. </t>
  </si>
  <si>
    <t xml:space="preserve"> Документ No / дата </t>
  </si>
  <si>
    <t xml:space="preserve"> Рег. No </t>
  </si>
  <si>
    <t xml:space="preserve"> Дт с/ка </t>
  </si>
  <si>
    <t xml:space="preserve"> Аналитична сметка </t>
  </si>
  <si>
    <t xml:space="preserve"> Кт с/ка </t>
  </si>
  <si>
    <t xml:space="preserve"> Количество 1 по Кт </t>
  </si>
  <si>
    <t xml:space="preserve"> Мярка 1 по Кт </t>
  </si>
  <si>
    <t xml:space="preserve">       Сума       </t>
  </si>
  <si>
    <t>1</t>
  </si>
  <si>
    <t>03.01.2023</t>
  </si>
  <si>
    <t>Ф-ра</t>
  </si>
  <si>
    <t>0000096425/ 03.01.2023</t>
  </si>
  <si>
    <t>453/1</t>
  </si>
  <si>
    <t/>
  </si>
  <si>
    <t>401/13</t>
  </si>
  <si>
    <t>8613;ВИП СЕКЮРИТИ ЕООД;0000096425;03.01.2023;29;ОХРАНА</t>
  </si>
  <si>
    <t>2</t>
  </si>
  <si>
    <t>602/4</t>
  </si>
  <si>
    <t>25;РАЗХОДИ ЗА ОХРАНА</t>
  </si>
  <si>
    <t>3</t>
  </si>
  <si>
    <t>614</t>
  </si>
  <si>
    <t>26;РАЗХОДИ ЗА ОХРАНА</t>
  </si>
  <si>
    <t>4</t>
  </si>
  <si>
    <t>0000096426/ 03.01.2023</t>
  </si>
  <si>
    <t>8613;ВИП СЕКЮРИТИ ЕООД;0000096426;03.01.2023;29;ОХРАНА</t>
  </si>
  <si>
    <t>5</t>
  </si>
  <si>
    <t>6</t>
  </si>
  <si>
    <t>7</t>
  </si>
  <si>
    <t>0000000576/ 03.01.2023</t>
  </si>
  <si>
    <t>10325;СТОБО КОМПЮТЪРС ЕООД;0000000576;03.01.2023;30;АБОНАМЕНТНИ ДОГОВОРИ</t>
  </si>
  <si>
    <t>8</t>
  </si>
  <si>
    <t>26;АБОНАМЕНТ ТЕХНИКА</t>
  </si>
  <si>
    <t>9</t>
  </si>
  <si>
    <t>25;АБОНАМЕНТ ТЕХН.ПОДДЪРЖ.</t>
  </si>
  <si>
    <t>10</t>
  </si>
  <si>
    <t>04.01.2023</t>
  </si>
  <si>
    <t>0000217997/ 03.01.2023</t>
  </si>
  <si>
    <t>5883;КАНТЕК ЕООД;0000217997;03.01.2023;30;АБОНАМЕНТНИ ДОГОВОРИ</t>
  </si>
  <si>
    <t>11</t>
  </si>
  <si>
    <t>12</t>
  </si>
  <si>
    <t>13</t>
  </si>
  <si>
    <t>9800012116/ 04.01.2023</t>
  </si>
  <si>
    <t>1579;АПЕКС-СЕРВИЗ ООД;9800012116;04.01.2023;36;ДРУГИ УСЛУГИ</t>
  </si>
  <si>
    <t>14</t>
  </si>
  <si>
    <t>602/1</t>
  </si>
  <si>
    <t>5;УСЛУГИ</t>
  </si>
  <si>
    <t>15</t>
  </si>
  <si>
    <t>611/13</t>
  </si>
  <si>
    <t>1;формовъчен цех;31;ДРУГИ ВЪНШНИ УСЛУГИ</t>
  </si>
  <si>
    <t>16</t>
  </si>
  <si>
    <t>0000001594/ 03.01.2023</t>
  </si>
  <si>
    <t>404/19</t>
  </si>
  <si>
    <t>11408;ГТМ ЛОГИСТИКА ЕООД;0000001594;03.01.2023</t>
  </si>
  <si>
    <t>17</t>
  </si>
  <si>
    <t>602/5</t>
  </si>
  <si>
    <t>20;ТРАНСПОРТНИ УСЛУГИ</t>
  </si>
  <si>
    <t>18</t>
  </si>
  <si>
    <t>615</t>
  </si>
  <si>
    <t>24;ТРАНСПОРТНИ РАЗХОДИ</t>
  </si>
  <si>
    <t>19</t>
  </si>
  <si>
    <t>МО</t>
  </si>
  <si>
    <t>БИ 1/ 03.01.2023</t>
  </si>
  <si>
    <t>504/3</t>
  </si>
  <si>
    <t>BG06UBBS88881400737131;EUR</t>
  </si>
  <si>
    <t>491/23</t>
  </si>
  <si>
    <t>5283;МЕТАЛ ТЕХНОЛОДЖИ ГРУП АД;01112021;01.11.2021;EUR;Евро</t>
  </si>
  <si>
    <t>20</t>
  </si>
  <si>
    <t>21</t>
  </si>
  <si>
    <t>22</t>
  </si>
  <si>
    <t>23</t>
  </si>
  <si>
    <t>БИ</t>
  </si>
  <si>
    <t>411/23</t>
  </si>
  <si>
    <t>6694;BAYARD division internationale;0140004953;11.11.2022;EUR;Евро;1;ПРОДУКЦИЯ</t>
  </si>
  <si>
    <t>24</t>
  </si>
  <si>
    <t>6953;ULEFOS ESCO AS;0140004924;31.10.2022;EUR;Евро;1;ПРОДУКЦИЯ</t>
  </si>
  <si>
    <t>25</t>
  </si>
  <si>
    <t>8142;RMG Messtechnik GmbH;0140004818;12.08.2022;EUR;Евро;1;ПРОДУКЦИЯ</t>
  </si>
  <si>
    <t>26</t>
  </si>
  <si>
    <t>10979;Bosch Automotive SRL;0140004910;27.10.2022;EUR;Евро;1;ПРОДУКЦИЯ</t>
  </si>
  <si>
    <t>27</t>
  </si>
  <si>
    <t>10979;Bosch Automotive SRL;0140004903;20.10.2022;EUR;Евро;1;ПРОДУКЦИЯ</t>
  </si>
  <si>
    <t>28</t>
  </si>
  <si>
    <t>10979;Bosch Automotive SRL;0140004926;31.10.2022;EUR;Евро;1;ПРОДУКЦИЯ</t>
  </si>
  <si>
    <t>29</t>
  </si>
  <si>
    <t>629</t>
  </si>
  <si>
    <t>503/3</t>
  </si>
  <si>
    <t>BG51UBBS88881000737130</t>
  </si>
  <si>
    <t>30</t>
  </si>
  <si>
    <t>БИ 2/ 04.01.2023</t>
  </si>
  <si>
    <t>411/13</t>
  </si>
  <si>
    <t>3511;ПРОМЕЛ-СЕВЛИЕВО ООД;0000007068;31.10.2022;1;ПРОДУКЦИЯ</t>
  </si>
  <si>
    <t>31</t>
  </si>
  <si>
    <t>11591;КОМПАНИ ФРАНСЕЗ АСЕ КЛОН БЪЛГАРИЯ;2208001434;23.12.2022;36;ДРУГИ УСЛУГИ</t>
  </si>
  <si>
    <t>32</t>
  </si>
  <si>
    <t>33</t>
  </si>
  <si>
    <t>499/2</t>
  </si>
  <si>
    <t>11594;GEMCO CAST METAL TECHNOLOGY;EUR;Евро</t>
  </si>
  <si>
    <t>34</t>
  </si>
  <si>
    <t>35</t>
  </si>
  <si>
    <t>БИ 1/ 04.01.2023</t>
  </si>
  <si>
    <t>8740;СИ ЕН СИ МАШИНИНГ ГРУП ЕООД;1000001660;30.12.2022;41;ДМА</t>
  </si>
  <si>
    <t>1043524018</t>
  </si>
  <si>
    <t>36</t>
  </si>
  <si>
    <t>8740;СИ ЕН СИ МАШИНИНГ ГРУП ЕООД;1000001597;30.06.2022;18;ИЗРАБОТКА МОД. ЕКИПИРОВКА</t>
  </si>
  <si>
    <t>37</t>
  </si>
  <si>
    <t>8740;СИ ЕН СИ МАШИНИНГ ГРУП ЕООД;1000001603;29.07.2022;19;МЕХАНООБРАБОТКА</t>
  </si>
  <si>
    <t>38</t>
  </si>
  <si>
    <t>501</t>
  </si>
  <si>
    <t>39</t>
  </si>
  <si>
    <t>05.01.2023</t>
  </si>
  <si>
    <t>0000127988/ 05.01.2023</t>
  </si>
  <si>
    <t>10773;ТРАНСПРЕС ДЕЛИВЪРИ ЕООД;0000127988;05.01.2023;24;ТРАНСПОРТНИ УСЛУГИ</t>
  </si>
  <si>
    <t>40</t>
  </si>
  <si>
    <t>41</t>
  </si>
  <si>
    <t>42</t>
  </si>
  <si>
    <t>0000000356/ 05.01.2023</t>
  </si>
  <si>
    <t>601/4</t>
  </si>
  <si>
    <t>5;ВОДА</t>
  </si>
  <si>
    <t>9111;СТРУЯ-СОЛАР ЕООД;0000000356;05.01.2023;10;ВОДА</t>
  </si>
  <si>
    <t>43</t>
  </si>
  <si>
    <t>3;ВОДА</t>
  </si>
  <si>
    <t>44</t>
  </si>
  <si>
    <t>0100001221/ 05.01.2023</t>
  </si>
  <si>
    <t>2133;ЕТ ДИГОЛ-Д.ГЕОРГИЕВА-ЛГЕОРГИЕВ;0100001221;05.01.2023;24;ТРАНСПОРТНИ УСЛУГИ</t>
  </si>
  <si>
    <t>45</t>
  </si>
  <si>
    <t>БИ 3/ 05.01.2023</t>
  </si>
  <si>
    <t>522;ПОДЕМКРАН АД;0000007032;28.09.2022;1;ПРОДУКЦИЯ</t>
  </si>
  <si>
    <t>46</t>
  </si>
  <si>
    <t>522;ПОДЕМКРАН АД;0000007084;11.11.2022;1;ПРОДУКЦИЯ</t>
  </si>
  <si>
    <t>47</t>
  </si>
  <si>
    <t>БИ 2/ 05.01.2023</t>
  </si>
  <si>
    <t>385;ЛИНДЕ ГАЗ БЪЛГАРИЯ ЕООД;2000063092;05.12.2022;23;НАЕМИ</t>
  </si>
  <si>
    <t>48</t>
  </si>
  <si>
    <t>417;МЕСЕР БЪЛГАРИЯ ЕООД;7360110745;15.12.2022;23;НАЕМИ</t>
  </si>
  <si>
    <t>49</t>
  </si>
  <si>
    <t>858;БЪЛГАРСКИ ПОЩИ  ЕАД;8812249211;21.12.2022;28;ПОЩЕНСКИ И КУРИЕРСКИ</t>
  </si>
  <si>
    <t>50</t>
  </si>
  <si>
    <t>858;БЪЛГАРСКИ ПОЩИ  ЕАД;8812249212;21.12.2022;28;ПОЩЕНСКИ И КУРИЕРСКИ</t>
  </si>
  <si>
    <t>№</t>
  </si>
  <si>
    <t xml:space="preserve"> Обяснителен текст            </t>
  </si>
  <si>
    <t>Установено при одита</t>
  </si>
  <si>
    <t>Отклонение</t>
  </si>
  <si>
    <t xml:space="preserve">Тествани на контролни действия </t>
  </si>
  <si>
    <t xml:space="preserve">Установено наличие  на контролно действие   при одита </t>
  </si>
  <si>
    <t>КД-9;КД-10, КД-11</t>
  </si>
  <si>
    <t>ДА</t>
  </si>
  <si>
    <t>няма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</si>
</sst>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49" fontId="0" fillId="0" borderId="0" xfId="0" applyNumberFormat="1"/>
    <xf numFmtId="164" fontId="0" fillId="0" borderId="0" xfId="0" applyNumberFormat="1"/>
    <xf numFmtId="2" fontId="0" fillId="0" borderId="0" xfId="0" applyNumberFormat="1"/>
    <xf numFmtId="49" fontId="1" fillId="0" borderId="1" xfId="0" applyNumberFormat="1" applyFont="1" applyBorder="1" applyAlignment="1">
      <alignment horizontal="left" vertical="top" wrapText="1"/>
    </xf>
    <xf numFmtId="164" fontId="1" fillId="0" borderId="1" xfId="0" applyNumberFormat="1" applyFont="1" applyBorder="1" applyAlignment="1">
      <alignment horizontal="left" vertical="top" wrapText="1"/>
    </xf>
    <xf numFmtId="49" fontId="0" fillId="0" borderId="1" xfId="0" applyNumberFormat="1" applyBorder="1"/>
    <xf numFmtId="49" fontId="1" fillId="2" borderId="1" xfId="0" applyNumberFormat="1" applyFont="1" applyFill="1" applyBorder="1" applyAlignment="1">
      <alignment horizontal="left" vertical="top" wrapText="1"/>
    </xf>
    <xf numFmtId="0" fontId="0" fillId="0" borderId="1" xfId="0" applyBorder="1" applyAlignment="1">
      <alignment vertical="center" wrapText="1"/>
    </xf>
    <xf numFmtId="49" fontId="0" fillId="0" borderId="1" xfId="0" applyNumberFormat="1" applyBorder="1" applyAlignment="1">
      <alignment horizontal="left" indent="1"/>
    </xf>
    <xf numFmtId="49" fontId="0" fillId="0" borderId="0" xfId="0" applyNumberFormat="1" applyAlignment="1">
      <alignment horizontal="left" indent="1"/>
    </xf>
    <xf numFmtId="2" fontId="0" fillId="0" borderId="1" xfId="0" applyNumberFormat="1" applyBorder="1"/>
    <xf numFmtId="0" fontId="0" fillId="3" borderId="0" xfId="0" applyFill="1"/>
    <xf numFmtId="49" fontId="1" fillId="2" borderId="1" xfId="0" applyNumberFormat="1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left" vertical="top" wrapText="1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1"/>
  <sheetViews>
    <sheetView tabSelected="1" topLeftCell="A30" zoomScale="98" zoomScaleNormal="98" workbookViewId="0">
      <selection activeCell="G61" sqref="G61"/>
    </sheetView>
  </sheetViews>
  <sheetFormatPr defaultRowHeight="14.4" x14ac:dyDescent="0.3"/>
  <cols>
    <col min="1" max="1" width="10.109375" style="1" customWidth="1"/>
    <col min="2" max="2" width="28.33203125" style="1" customWidth="1"/>
    <col min="3" max="3" width="23" style="1" customWidth="1"/>
    <col min="4" max="4" width="33.88671875" style="1" bestFit="1" customWidth="1"/>
    <col min="5" max="5" width="10.88671875" style="1" bestFit="1" customWidth="1"/>
    <col min="6" max="6" width="12.6640625" style="1" customWidth="1"/>
    <col min="7" max="7" width="77.44140625" style="1" customWidth="1"/>
    <col min="8" max="8" width="10.88671875" style="1" customWidth="1"/>
    <col min="9" max="9" width="13.109375" style="1" customWidth="1"/>
    <col min="10" max="10" width="79.88671875" style="1" customWidth="1"/>
    <col min="11" max="11" width="11.5546875" style="2" bestFit="1" customWidth="1"/>
    <col min="12" max="12" width="9.5546875" style="1" bestFit="1" customWidth="1"/>
    <col min="13" max="13" width="17.6640625" style="3" customWidth="1"/>
    <col min="14" max="14" width="18.109375" customWidth="1"/>
    <col min="15" max="15" width="22.33203125" customWidth="1"/>
    <col min="16" max="16" width="18.5546875" customWidth="1"/>
    <col min="17" max="17" width="19.6640625" customWidth="1"/>
    <col min="18" max="18" width="20.33203125" customWidth="1"/>
    <col min="19" max="19" width="18.33203125" customWidth="1"/>
  </cols>
  <sheetData>
    <row r="1" spans="1:21" ht="43.2" x14ac:dyDescent="0.3">
      <c r="A1" s="13" t="s">
        <v>140</v>
      </c>
      <c r="B1" s="7" t="s">
        <v>0</v>
      </c>
      <c r="C1" s="7" t="s">
        <v>1</v>
      </c>
      <c r="D1" s="7" t="s">
        <v>2</v>
      </c>
      <c r="E1" s="4" t="s">
        <v>3</v>
      </c>
      <c r="F1" s="7" t="s">
        <v>4</v>
      </c>
      <c r="G1" s="7" t="s">
        <v>5</v>
      </c>
      <c r="H1" s="6"/>
      <c r="I1" s="7" t="s">
        <v>6</v>
      </c>
      <c r="J1" s="7" t="s">
        <v>5</v>
      </c>
      <c r="K1" s="5" t="s">
        <v>7</v>
      </c>
      <c r="L1" s="4" t="s">
        <v>8</v>
      </c>
      <c r="M1" s="14" t="s">
        <v>9</v>
      </c>
      <c r="N1" s="15" t="s">
        <v>141</v>
      </c>
      <c r="O1" s="15" t="s">
        <v>142</v>
      </c>
      <c r="P1" s="15" t="s">
        <v>143</v>
      </c>
      <c r="Q1" s="16" t="s">
        <v>144</v>
      </c>
      <c r="R1" s="8" t="s">
        <v>145</v>
      </c>
      <c r="S1" s="15" t="s">
        <v>143</v>
      </c>
    </row>
    <row r="2" spans="1:21" x14ac:dyDescent="0.3">
      <c r="A2" s="1" t="s">
        <v>10</v>
      </c>
      <c r="B2" s="1" t="s">
        <v>11</v>
      </c>
      <c r="C2" s="1" t="s">
        <v>12</v>
      </c>
      <c r="D2" s="1" t="s">
        <v>13</v>
      </c>
      <c r="F2" s="1" t="s">
        <v>14</v>
      </c>
      <c r="G2" s="1" t="s">
        <v>15</v>
      </c>
      <c r="I2" s="1" t="s">
        <v>16</v>
      </c>
      <c r="J2" s="1" t="s">
        <v>17</v>
      </c>
      <c r="K2" s="2">
        <v>0</v>
      </c>
      <c r="L2" s="1" t="s">
        <v>15</v>
      </c>
      <c r="M2" s="3">
        <v>1596.4</v>
      </c>
      <c r="P2" s="11">
        <f>M2-O2</f>
        <v>1596.4</v>
      </c>
      <c r="Q2" s="9" t="s">
        <v>146</v>
      </c>
      <c r="R2" s="9" t="s">
        <v>147</v>
      </c>
      <c r="S2" s="9" t="s">
        <v>148</v>
      </c>
    </row>
    <row r="3" spans="1:21" x14ac:dyDescent="0.3">
      <c r="A3" s="1" t="s">
        <v>18</v>
      </c>
      <c r="B3" s="1" t="s">
        <v>11</v>
      </c>
      <c r="C3" s="1" t="s">
        <v>12</v>
      </c>
      <c r="D3" s="1" t="s">
        <v>13</v>
      </c>
      <c r="F3" s="1" t="s">
        <v>19</v>
      </c>
      <c r="G3" s="1" t="s">
        <v>20</v>
      </c>
      <c r="I3" s="1" t="s">
        <v>16</v>
      </c>
      <c r="J3" s="1" t="s">
        <v>17</v>
      </c>
      <c r="K3" s="2">
        <v>0</v>
      </c>
      <c r="L3" s="1" t="s">
        <v>15</v>
      </c>
      <c r="M3" s="3">
        <v>7982</v>
      </c>
      <c r="P3" s="3">
        <f t="shared" ref="P3:P51" si="0">M3-O3</f>
        <v>7982</v>
      </c>
      <c r="Q3" s="10" t="s">
        <v>146</v>
      </c>
      <c r="R3" s="10" t="s">
        <v>147</v>
      </c>
      <c r="S3" s="10" t="s">
        <v>148</v>
      </c>
    </row>
    <row r="4" spans="1:21" x14ac:dyDescent="0.3">
      <c r="A4" s="1" t="s">
        <v>21</v>
      </c>
      <c r="B4" s="1" t="s">
        <v>11</v>
      </c>
      <c r="C4" s="1" t="s">
        <v>12</v>
      </c>
      <c r="D4" s="1" t="s">
        <v>13</v>
      </c>
      <c r="F4" s="1" t="s">
        <v>22</v>
      </c>
      <c r="G4" s="1" t="s">
        <v>23</v>
      </c>
      <c r="I4" s="1" t="s">
        <v>19</v>
      </c>
      <c r="J4" s="1" t="s">
        <v>20</v>
      </c>
      <c r="K4" s="2">
        <v>0</v>
      </c>
      <c r="L4" s="1" t="s">
        <v>15</v>
      </c>
      <c r="M4" s="3">
        <v>7982</v>
      </c>
      <c r="P4" s="3">
        <f t="shared" si="0"/>
        <v>7982</v>
      </c>
      <c r="Q4" s="10" t="s">
        <v>146</v>
      </c>
      <c r="R4" s="10" t="s">
        <v>147</v>
      </c>
      <c r="S4" s="10" t="s">
        <v>148</v>
      </c>
      <c r="U4" s="12"/>
    </row>
    <row r="5" spans="1:21" x14ac:dyDescent="0.3">
      <c r="A5" s="1" t="s">
        <v>24</v>
      </c>
      <c r="B5" s="1" t="s">
        <v>11</v>
      </c>
      <c r="C5" s="1" t="s">
        <v>12</v>
      </c>
      <c r="D5" s="1" t="s">
        <v>25</v>
      </c>
      <c r="F5" s="1" t="s">
        <v>14</v>
      </c>
      <c r="G5" s="1" t="s">
        <v>15</v>
      </c>
      <c r="I5" s="1" t="s">
        <v>16</v>
      </c>
      <c r="J5" s="1" t="s">
        <v>26</v>
      </c>
      <c r="K5" s="2">
        <v>0</v>
      </c>
      <c r="L5" s="1" t="s">
        <v>15</v>
      </c>
      <c r="M5" s="3">
        <v>85.5</v>
      </c>
      <c r="P5" s="3">
        <f t="shared" si="0"/>
        <v>85.5</v>
      </c>
      <c r="Q5" s="10" t="s">
        <v>146</v>
      </c>
      <c r="R5" s="10" t="s">
        <v>147</v>
      </c>
      <c r="S5" s="10" t="s">
        <v>148</v>
      </c>
    </row>
    <row r="6" spans="1:21" x14ac:dyDescent="0.3">
      <c r="A6" s="1" t="s">
        <v>27</v>
      </c>
      <c r="B6" s="1" t="s">
        <v>11</v>
      </c>
      <c r="C6" s="1" t="s">
        <v>12</v>
      </c>
      <c r="D6" s="1" t="s">
        <v>25</v>
      </c>
      <c r="F6" s="1" t="s">
        <v>19</v>
      </c>
      <c r="G6" s="1" t="s">
        <v>20</v>
      </c>
      <c r="I6" s="1" t="s">
        <v>16</v>
      </c>
      <c r="J6" s="1" t="s">
        <v>26</v>
      </c>
      <c r="K6" s="2">
        <v>0</v>
      </c>
      <c r="L6" s="1" t="s">
        <v>15</v>
      </c>
      <c r="M6" s="3">
        <v>427.5</v>
      </c>
      <c r="P6" s="3">
        <f t="shared" si="0"/>
        <v>427.5</v>
      </c>
      <c r="Q6" s="10" t="s">
        <v>146</v>
      </c>
      <c r="R6" s="10" t="s">
        <v>147</v>
      </c>
      <c r="S6" s="10" t="s">
        <v>148</v>
      </c>
    </row>
    <row r="7" spans="1:21" x14ac:dyDescent="0.3">
      <c r="A7" s="1" t="s">
        <v>28</v>
      </c>
      <c r="B7" s="1" t="s">
        <v>11</v>
      </c>
      <c r="C7" s="1" t="s">
        <v>12</v>
      </c>
      <c r="D7" s="1" t="s">
        <v>25</v>
      </c>
      <c r="F7" s="1" t="s">
        <v>22</v>
      </c>
      <c r="G7" s="1" t="s">
        <v>23</v>
      </c>
      <c r="I7" s="1" t="s">
        <v>19</v>
      </c>
      <c r="J7" s="1" t="s">
        <v>20</v>
      </c>
      <c r="K7" s="2">
        <v>0</v>
      </c>
      <c r="L7" s="1" t="s">
        <v>15</v>
      </c>
      <c r="M7" s="3">
        <v>427.5</v>
      </c>
      <c r="P7" s="3">
        <f t="shared" si="0"/>
        <v>427.5</v>
      </c>
      <c r="Q7" s="10" t="s">
        <v>146</v>
      </c>
      <c r="R7" s="10" t="s">
        <v>147</v>
      </c>
      <c r="S7" s="10" t="s">
        <v>148</v>
      </c>
    </row>
    <row r="8" spans="1:21" x14ac:dyDescent="0.3">
      <c r="A8" s="1" t="s">
        <v>29</v>
      </c>
      <c r="B8" s="1" t="s">
        <v>11</v>
      </c>
      <c r="C8" s="1" t="s">
        <v>12</v>
      </c>
      <c r="D8" s="1" t="s">
        <v>30</v>
      </c>
      <c r="F8" s="1" t="s">
        <v>14</v>
      </c>
      <c r="G8" s="1" t="s">
        <v>15</v>
      </c>
      <c r="I8" s="1" t="s">
        <v>16</v>
      </c>
      <c r="J8" s="1" t="s">
        <v>31</v>
      </c>
      <c r="K8" s="2">
        <v>0</v>
      </c>
      <c r="L8" s="1" t="s">
        <v>15</v>
      </c>
      <c r="M8" s="3">
        <v>285.2</v>
      </c>
      <c r="P8" s="3">
        <f t="shared" si="0"/>
        <v>285.2</v>
      </c>
      <c r="Q8" s="10" t="s">
        <v>146</v>
      </c>
      <c r="R8" s="10" t="s">
        <v>147</v>
      </c>
      <c r="S8" s="10" t="s">
        <v>148</v>
      </c>
    </row>
    <row r="9" spans="1:21" x14ac:dyDescent="0.3">
      <c r="A9" s="1" t="s">
        <v>32</v>
      </c>
      <c r="B9" s="1" t="s">
        <v>11</v>
      </c>
      <c r="C9" s="1" t="s">
        <v>12</v>
      </c>
      <c r="D9" s="1" t="s">
        <v>30</v>
      </c>
      <c r="F9" s="1" t="s">
        <v>19</v>
      </c>
      <c r="G9" s="1" t="s">
        <v>33</v>
      </c>
      <c r="I9" s="1" t="s">
        <v>16</v>
      </c>
      <c r="J9" s="1" t="s">
        <v>31</v>
      </c>
      <c r="K9" s="2">
        <v>0</v>
      </c>
      <c r="L9" s="1" t="s">
        <v>15</v>
      </c>
      <c r="M9" s="3">
        <v>1426</v>
      </c>
      <c r="P9" s="3">
        <f t="shared" si="0"/>
        <v>1426</v>
      </c>
      <c r="Q9" s="10" t="s">
        <v>146</v>
      </c>
      <c r="R9" s="10" t="s">
        <v>147</v>
      </c>
      <c r="S9" s="10" t="s">
        <v>148</v>
      </c>
    </row>
    <row r="10" spans="1:21" x14ac:dyDescent="0.3">
      <c r="A10" s="1" t="s">
        <v>34</v>
      </c>
      <c r="B10" s="1" t="s">
        <v>11</v>
      </c>
      <c r="C10" s="1" t="s">
        <v>12</v>
      </c>
      <c r="D10" s="1" t="s">
        <v>30</v>
      </c>
      <c r="F10" s="1" t="s">
        <v>22</v>
      </c>
      <c r="G10" s="1" t="s">
        <v>35</v>
      </c>
      <c r="I10" s="1" t="s">
        <v>19</v>
      </c>
      <c r="J10" s="1" t="s">
        <v>33</v>
      </c>
      <c r="K10" s="2">
        <v>0</v>
      </c>
      <c r="L10" s="1" t="s">
        <v>15</v>
      </c>
      <c r="M10" s="3">
        <v>1426</v>
      </c>
      <c r="P10" s="3">
        <f t="shared" si="0"/>
        <v>1426</v>
      </c>
      <c r="Q10" s="10" t="s">
        <v>146</v>
      </c>
      <c r="R10" s="10" t="s">
        <v>147</v>
      </c>
      <c r="S10" s="10" t="s">
        <v>148</v>
      </c>
    </row>
    <row r="11" spans="1:21" x14ac:dyDescent="0.3">
      <c r="A11" s="1" t="s">
        <v>36</v>
      </c>
      <c r="B11" s="1" t="s">
        <v>37</v>
      </c>
      <c r="C11" s="1" t="s">
        <v>12</v>
      </c>
      <c r="D11" s="1" t="s">
        <v>38</v>
      </c>
      <c r="F11" s="1" t="s">
        <v>14</v>
      </c>
      <c r="G11" s="1" t="s">
        <v>15</v>
      </c>
      <c r="I11" s="1" t="s">
        <v>16</v>
      </c>
      <c r="J11" s="1" t="s">
        <v>39</v>
      </c>
      <c r="K11" s="2">
        <v>0</v>
      </c>
      <c r="L11" s="1" t="s">
        <v>15</v>
      </c>
      <c r="M11" s="3">
        <v>12.95</v>
      </c>
      <c r="P11" s="3">
        <f t="shared" si="0"/>
        <v>12.95</v>
      </c>
      <c r="Q11" s="10" t="s">
        <v>146</v>
      </c>
      <c r="R11" s="10" t="s">
        <v>147</v>
      </c>
      <c r="S11" s="10" t="s">
        <v>148</v>
      </c>
    </row>
    <row r="12" spans="1:21" x14ac:dyDescent="0.3">
      <c r="A12" s="1" t="s">
        <v>40</v>
      </c>
      <c r="B12" s="1" t="s">
        <v>37</v>
      </c>
      <c r="C12" s="1" t="s">
        <v>12</v>
      </c>
      <c r="D12" s="1" t="s">
        <v>38</v>
      </c>
      <c r="F12" s="1" t="s">
        <v>19</v>
      </c>
      <c r="G12" s="1" t="s">
        <v>33</v>
      </c>
      <c r="I12" s="1" t="s">
        <v>16</v>
      </c>
      <c r="J12" s="1" t="s">
        <v>39</v>
      </c>
      <c r="K12" s="2">
        <v>0</v>
      </c>
      <c r="L12" s="1" t="s">
        <v>15</v>
      </c>
      <c r="M12" s="3">
        <v>64.73</v>
      </c>
      <c r="P12" s="3">
        <f t="shared" si="0"/>
        <v>64.73</v>
      </c>
      <c r="Q12" s="10" t="s">
        <v>146</v>
      </c>
      <c r="R12" s="10" t="s">
        <v>147</v>
      </c>
      <c r="S12" s="10" t="s">
        <v>148</v>
      </c>
    </row>
    <row r="13" spans="1:21" x14ac:dyDescent="0.3">
      <c r="A13" s="1" t="s">
        <v>41</v>
      </c>
      <c r="B13" s="1" t="s">
        <v>37</v>
      </c>
      <c r="C13" s="1" t="s">
        <v>12</v>
      </c>
      <c r="D13" s="1" t="s">
        <v>38</v>
      </c>
      <c r="F13" s="1" t="s">
        <v>22</v>
      </c>
      <c r="G13" s="1" t="s">
        <v>35</v>
      </c>
      <c r="I13" s="1" t="s">
        <v>19</v>
      </c>
      <c r="J13" s="1" t="s">
        <v>33</v>
      </c>
      <c r="K13" s="2">
        <v>0</v>
      </c>
      <c r="L13" s="1" t="s">
        <v>15</v>
      </c>
      <c r="M13" s="3">
        <v>64.73</v>
      </c>
      <c r="P13" s="3">
        <f t="shared" si="0"/>
        <v>64.73</v>
      </c>
      <c r="Q13" s="10" t="s">
        <v>146</v>
      </c>
      <c r="R13" s="10" t="s">
        <v>147</v>
      </c>
      <c r="S13" s="10" t="s">
        <v>148</v>
      </c>
    </row>
    <row r="14" spans="1:21" x14ac:dyDescent="0.3">
      <c r="A14" s="1" t="s">
        <v>42</v>
      </c>
      <c r="B14" s="1" t="s">
        <v>37</v>
      </c>
      <c r="C14" s="1" t="s">
        <v>12</v>
      </c>
      <c r="D14" s="1" t="s">
        <v>43</v>
      </c>
      <c r="F14" s="1" t="s">
        <v>14</v>
      </c>
      <c r="G14" s="1" t="s">
        <v>15</v>
      </c>
      <c r="I14" s="1" t="s">
        <v>16</v>
      </c>
      <c r="J14" s="1" t="s">
        <v>44</v>
      </c>
      <c r="K14" s="2">
        <v>0</v>
      </c>
      <c r="L14" s="1" t="s">
        <v>15</v>
      </c>
      <c r="M14" s="3">
        <v>57.71</v>
      </c>
      <c r="P14" s="3">
        <f t="shared" si="0"/>
        <v>57.71</v>
      </c>
      <c r="Q14" s="10" t="s">
        <v>146</v>
      </c>
      <c r="R14" s="10" t="s">
        <v>147</v>
      </c>
      <c r="S14" s="10" t="s">
        <v>148</v>
      </c>
    </row>
    <row r="15" spans="1:21" x14ac:dyDescent="0.3">
      <c r="A15" s="1" t="s">
        <v>45</v>
      </c>
      <c r="B15" s="1" t="s">
        <v>37</v>
      </c>
      <c r="C15" s="1" t="s">
        <v>12</v>
      </c>
      <c r="D15" s="1" t="s">
        <v>43</v>
      </c>
      <c r="F15" s="1" t="s">
        <v>46</v>
      </c>
      <c r="G15" s="1" t="s">
        <v>47</v>
      </c>
      <c r="I15" s="1" t="s">
        <v>16</v>
      </c>
      <c r="J15" s="1" t="s">
        <v>44</v>
      </c>
      <c r="K15" s="2">
        <v>0</v>
      </c>
      <c r="L15" s="1" t="s">
        <v>15</v>
      </c>
      <c r="M15" s="3">
        <v>288.54000000000002</v>
      </c>
      <c r="P15" s="3">
        <f t="shared" si="0"/>
        <v>288.54000000000002</v>
      </c>
      <c r="Q15" s="10" t="s">
        <v>146</v>
      </c>
      <c r="R15" s="10" t="s">
        <v>147</v>
      </c>
      <c r="S15" s="10" t="s">
        <v>148</v>
      </c>
    </row>
    <row r="16" spans="1:21" x14ac:dyDescent="0.3">
      <c r="A16" s="1" t="s">
        <v>48</v>
      </c>
      <c r="B16" s="1" t="s">
        <v>37</v>
      </c>
      <c r="C16" s="1" t="s">
        <v>12</v>
      </c>
      <c r="D16" s="1" t="s">
        <v>43</v>
      </c>
      <c r="F16" s="1" t="s">
        <v>49</v>
      </c>
      <c r="G16" s="1" t="s">
        <v>50</v>
      </c>
      <c r="I16" s="1" t="s">
        <v>46</v>
      </c>
      <c r="J16" s="1" t="s">
        <v>47</v>
      </c>
      <c r="K16" s="2">
        <v>0</v>
      </c>
      <c r="L16" s="1" t="s">
        <v>15</v>
      </c>
      <c r="M16" s="3">
        <v>288.54000000000002</v>
      </c>
      <c r="P16" s="3">
        <f t="shared" si="0"/>
        <v>288.54000000000002</v>
      </c>
      <c r="Q16" s="10" t="s">
        <v>146</v>
      </c>
      <c r="R16" s="10" t="s">
        <v>147</v>
      </c>
      <c r="S16" s="10" t="s">
        <v>148</v>
      </c>
    </row>
    <row r="17" spans="1:19" x14ac:dyDescent="0.3">
      <c r="A17" s="1" t="s">
        <v>51</v>
      </c>
      <c r="B17" s="1" t="s">
        <v>37</v>
      </c>
      <c r="C17" s="1" t="s">
        <v>12</v>
      </c>
      <c r="D17" s="1" t="s">
        <v>52</v>
      </c>
      <c r="F17" s="1" t="s">
        <v>14</v>
      </c>
      <c r="G17" s="1" t="s">
        <v>15</v>
      </c>
      <c r="I17" s="1" t="s">
        <v>53</v>
      </c>
      <c r="J17" s="1" t="s">
        <v>54</v>
      </c>
      <c r="K17" s="2">
        <v>0</v>
      </c>
      <c r="L17" s="1" t="s">
        <v>15</v>
      </c>
      <c r="M17" s="3">
        <v>200</v>
      </c>
      <c r="P17" s="3">
        <f t="shared" si="0"/>
        <v>200</v>
      </c>
      <c r="Q17" s="10" t="s">
        <v>146</v>
      </c>
      <c r="R17" s="10" t="s">
        <v>147</v>
      </c>
      <c r="S17" s="10" t="s">
        <v>148</v>
      </c>
    </row>
    <row r="18" spans="1:19" x14ac:dyDescent="0.3">
      <c r="A18" s="1" t="s">
        <v>55</v>
      </c>
      <c r="B18" s="1" t="s">
        <v>37</v>
      </c>
      <c r="C18" s="1" t="s">
        <v>12</v>
      </c>
      <c r="D18" s="1" t="s">
        <v>52</v>
      </c>
      <c r="F18" s="1" t="s">
        <v>56</v>
      </c>
      <c r="G18" s="1" t="s">
        <v>57</v>
      </c>
      <c r="I18" s="1" t="s">
        <v>53</v>
      </c>
      <c r="J18" s="1" t="s">
        <v>54</v>
      </c>
      <c r="K18" s="2">
        <v>0</v>
      </c>
      <c r="L18" s="1" t="s">
        <v>15</v>
      </c>
      <c r="M18" s="3">
        <v>1000</v>
      </c>
      <c r="P18" s="3">
        <f t="shared" si="0"/>
        <v>1000</v>
      </c>
      <c r="Q18" s="10" t="s">
        <v>146</v>
      </c>
      <c r="R18" s="10" t="s">
        <v>147</v>
      </c>
      <c r="S18" s="10" t="s">
        <v>148</v>
      </c>
    </row>
    <row r="19" spans="1:19" x14ac:dyDescent="0.3">
      <c r="A19" s="1" t="s">
        <v>58</v>
      </c>
      <c r="B19" s="1" t="s">
        <v>37</v>
      </c>
      <c r="C19" s="1" t="s">
        <v>12</v>
      </c>
      <c r="D19" s="1" t="s">
        <v>52</v>
      </c>
      <c r="F19" s="1" t="s">
        <v>59</v>
      </c>
      <c r="G19" s="1" t="s">
        <v>60</v>
      </c>
      <c r="I19" s="1" t="s">
        <v>56</v>
      </c>
      <c r="J19" s="1" t="s">
        <v>57</v>
      </c>
      <c r="K19" s="2">
        <v>0</v>
      </c>
      <c r="L19" s="1" t="s">
        <v>15</v>
      </c>
      <c r="M19" s="3">
        <v>1000</v>
      </c>
      <c r="P19" s="3">
        <f t="shared" si="0"/>
        <v>1000</v>
      </c>
      <c r="Q19" s="10" t="s">
        <v>146</v>
      </c>
      <c r="R19" s="10" t="s">
        <v>147</v>
      </c>
      <c r="S19" s="10" t="s">
        <v>148</v>
      </c>
    </row>
    <row r="20" spans="1:19" x14ac:dyDescent="0.3">
      <c r="A20" s="1" t="s">
        <v>61</v>
      </c>
      <c r="B20" s="1" t="s">
        <v>11</v>
      </c>
      <c r="C20" s="1" t="s">
        <v>62</v>
      </c>
      <c r="D20" s="1" t="s">
        <v>63</v>
      </c>
      <c r="F20" s="1" t="s">
        <v>64</v>
      </c>
      <c r="G20" s="1" t="s">
        <v>65</v>
      </c>
      <c r="I20" s="1" t="s">
        <v>66</v>
      </c>
      <c r="J20" s="1" t="s">
        <v>67</v>
      </c>
      <c r="K20" s="2">
        <v>0</v>
      </c>
      <c r="L20" s="1" t="s">
        <v>15</v>
      </c>
      <c r="M20" s="3">
        <v>73462.34</v>
      </c>
      <c r="P20" s="3">
        <f t="shared" si="0"/>
        <v>73462.34</v>
      </c>
      <c r="Q20" s="10" t="s">
        <v>146</v>
      </c>
      <c r="R20" s="10" t="s">
        <v>147</v>
      </c>
      <c r="S20" s="10" t="s">
        <v>148</v>
      </c>
    </row>
    <row r="21" spans="1:19" x14ac:dyDescent="0.3">
      <c r="A21" s="1" t="s">
        <v>68</v>
      </c>
      <c r="B21" s="1" t="s">
        <v>11</v>
      </c>
      <c r="C21" s="1" t="s">
        <v>62</v>
      </c>
      <c r="D21" s="1" t="s">
        <v>63</v>
      </c>
      <c r="F21" s="1" t="s">
        <v>64</v>
      </c>
      <c r="G21" s="1" t="s">
        <v>65</v>
      </c>
      <c r="I21" s="1" t="s">
        <v>66</v>
      </c>
      <c r="J21" s="1" t="s">
        <v>67</v>
      </c>
      <c r="K21" s="2">
        <v>0</v>
      </c>
      <c r="L21" s="1" t="s">
        <v>15</v>
      </c>
      <c r="M21" s="3">
        <v>20032.55</v>
      </c>
      <c r="P21" s="3">
        <f t="shared" si="0"/>
        <v>20032.55</v>
      </c>
      <c r="Q21" s="10" t="s">
        <v>146</v>
      </c>
      <c r="R21" s="10" t="s">
        <v>147</v>
      </c>
      <c r="S21" s="10" t="s">
        <v>148</v>
      </c>
    </row>
    <row r="22" spans="1:19" x14ac:dyDescent="0.3">
      <c r="A22" s="1" t="s">
        <v>69</v>
      </c>
      <c r="B22" s="1" t="s">
        <v>11</v>
      </c>
      <c r="C22" s="1" t="s">
        <v>62</v>
      </c>
      <c r="D22" s="1" t="s">
        <v>63</v>
      </c>
      <c r="F22" s="1" t="s">
        <v>64</v>
      </c>
      <c r="G22" s="1" t="s">
        <v>65</v>
      </c>
      <c r="I22" s="1" t="s">
        <v>66</v>
      </c>
      <c r="J22" s="1" t="s">
        <v>67</v>
      </c>
      <c r="K22" s="2">
        <v>0</v>
      </c>
      <c r="L22" s="1" t="s">
        <v>15</v>
      </c>
      <c r="M22" s="3">
        <v>-20032.55</v>
      </c>
      <c r="P22" s="3">
        <f t="shared" si="0"/>
        <v>-20032.55</v>
      </c>
      <c r="Q22" s="10" t="s">
        <v>146</v>
      </c>
      <c r="R22" s="10" t="s">
        <v>147</v>
      </c>
      <c r="S22" s="10" t="s">
        <v>148</v>
      </c>
    </row>
    <row r="23" spans="1:19" x14ac:dyDescent="0.3">
      <c r="A23" s="1" t="s">
        <v>70</v>
      </c>
      <c r="B23" s="1" t="s">
        <v>11</v>
      </c>
      <c r="C23" s="1" t="s">
        <v>62</v>
      </c>
      <c r="D23" s="1" t="s">
        <v>63</v>
      </c>
      <c r="F23" s="1" t="s">
        <v>64</v>
      </c>
      <c r="G23" s="1" t="s">
        <v>65</v>
      </c>
      <c r="I23" s="1" t="s">
        <v>66</v>
      </c>
      <c r="J23" s="1" t="s">
        <v>67</v>
      </c>
      <c r="K23" s="2">
        <v>0</v>
      </c>
      <c r="L23" s="1" t="s">
        <v>15</v>
      </c>
      <c r="M23" s="3">
        <v>20454.27</v>
      </c>
      <c r="P23" s="3">
        <f t="shared" si="0"/>
        <v>20454.27</v>
      </c>
      <c r="Q23" s="10" t="s">
        <v>146</v>
      </c>
      <c r="R23" s="10" t="s">
        <v>147</v>
      </c>
      <c r="S23" s="10" t="s">
        <v>148</v>
      </c>
    </row>
    <row r="24" spans="1:19" x14ac:dyDescent="0.3">
      <c r="A24" s="1" t="s">
        <v>71</v>
      </c>
      <c r="B24" s="1" t="s">
        <v>11</v>
      </c>
      <c r="C24" s="1" t="s">
        <v>72</v>
      </c>
      <c r="D24" s="1" t="s">
        <v>63</v>
      </c>
      <c r="F24" s="1" t="s">
        <v>66</v>
      </c>
      <c r="G24" s="1" t="s">
        <v>67</v>
      </c>
      <c r="I24" s="1" t="s">
        <v>73</v>
      </c>
      <c r="J24" s="1" t="s">
        <v>74</v>
      </c>
      <c r="K24" s="2">
        <v>0</v>
      </c>
      <c r="L24" s="1" t="s">
        <v>15</v>
      </c>
      <c r="M24" s="3">
        <v>7473.73</v>
      </c>
      <c r="P24" s="3">
        <f t="shared" si="0"/>
        <v>7473.73</v>
      </c>
      <c r="Q24" s="10" t="s">
        <v>146</v>
      </c>
      <c r="R24" s="10" t="s">
        <v>147</v>
      </c>
      <c r="S24" s="10" t="s">
        <v>148</v>
      </c>
    </row>
    <row r="25" spans="1:19" x14ac:dyDescent="0.3">
      <c r="A25" s="1" t="s">
        <v>75</v>
      </c>
      <c r="B25" s="1" t="s">
        <v>11</v>
      </c>
      <c r="C25" s="1" t="s">
        <v>72</v>
      </c>
      <c r="D25" s="1" t="s">
        <v>63</v>
      </c>
      <c r="F25" s="1" t="s">
        <v>66</v>
      </c>
      <c r="G25" s="1" t="s">
        <v>67</v>
      </c>
      <c r="I25" s="1" t="s">
        <v>73</v>
      </c>
      <c r="J25" s="1" t="s">
        <v>76</v>
      </c>
      <c r="K25" s="2">
        <v>0</v>
      </c>
      <c r="L25" s="1" t="s">
        <v>15</v>
      </c>
      <c r="M25" s="3">
        <v>13613.14</v>
      </c>
      <c r="P25" s="3">
        <f t="shared" si="0"/>
        <v>13613.14</v>
      </c>
      <c r="Q25" s="10" t="s">
        <v>146</v>
      </c>
      <c r="R25" s="10" t="s">
        <v>147</v>
      </c>
      <c r="S25" s="10" t="s">
        <v>148</v>
      </c>
    </row>
    <row r="26" spans="1:19" x14ac:dyDescent="0.3">
      <c r="A26" s="1" t="s">
        <v>77</v>
      </c>
      <c r="B26" s="1" t="s">
        <v>11</v>
      </c>
      <c r="C26" s="1" t="s">
        <v>72</v>
      </c>
      <c r="D26" s="1" t="s">
        <v>63</v>
      </c>
      <c r="F26" s="1" t="s">
        <v>66</v>
      </c>
      <c r="G26" s="1" t="s">
        <v>67</v>
      </c>
      <c r="I26" s="1" t="s">
        <v>73</v>
      </c>
      <c r="J26" s="1" t="s">
        <v>78</v>
      </c>
      <c r="K26" s="2">
        <v>0</v>
      </c>
      <c r="L26" s="1" t="s">
        <v>15</v>
      </c>
      <c r="M26" s="3">
        <v>42360.63</v>
      </c>
      <c r="P26" s="3">
        <f t="shared" si="0"/>
        <v>42360.63</v>
      </c>
      <c r="Q26" s="10" t="s">
        <v>146</v>
      </c>
      <c r="R26" s="10" t="s">
        <v>147</v>
      </c>
      <c r="S26" s="10" t="s">
        <v>148</v>
      </c>
    </row>
    <row r="27" spans="1:19" x14ac:dyDescent="0.3">
      <c r="A27" s="1" t="s">
        <v>79</v>
      </c>
      <c r="B27" s="1" t="s">
        <v>11</v>
      </c>
      <c r="C27" s="1" t="s">
        <v>72</v>
      </c>
      <c r="D27" s="1" t="s">
        <v>63</v>
      </c>
      <c r="F27" s="1" t="s">
        <v>66</v>
      </c>
      <c r="G27" s="1" t="s">
        <v>67</v>
      </c>
      <c r="I27" s="1" t="s">
        <v>73</v>
      </c>
      <c r="J27" s="1" t="s">
        <v>80</v>
      </c>
      <c r="K27" s="2">
        <v>0</v>
      </c>
      <c r="L27" s="1" t="s">
        <v>15</v>
      </c>
      <c r="M27" s="3">
        <v>18918.55</v>
      </c>
      <c r="P27" s="3">
        <f t="shared" si="0"/>
        <v>18918.55</v>
      </c>
      <c r="Q27" s="10" t="s">
        <v>146</v>
      </c>
      <c r="R27" s="10" t="s">
        <v>147</v>
      </c>
      <c r="S27" s="10" t="s">
        <v>148</v>
      </c>
    </row>
    <row r="28" spans="1:19" x14ac:dyDescent="0.3">
      <c r="A28" s="1" t="s">
        <v>81</v>
      </c>
      <c r="B28" s="1" t="s">
        <v>11</v>
      </c>
      <c r="C28" s="1" t="s">
        <v>72</v>
      </c>
      <c r="D28" s="1" t="s">
        <v>63</v>
      </c>
      <c r="F28" s="1" t="s">
        <v>66</v>
      </c>
      <c r="G28" s="1" t="s">
        <v>67</v>
      </c>
      <c r="I28" s="1" t="s">
        <v>73</v>
      </c>
      <c r="J28" s="1" t="s">
        <v>82</v>
      </c>
      <c r="K28" s="2">
        <v>0</v>
      </c>
      <c r="L28" s="1" t="s">
        <v>15</v>
      </c>
      <c r="M28" s="3">
        <v>162.75</v>
      </c>
      <c r="P28" s="3">
        <f t="shared" si="0"/>
        <v>162.75</v>
      </c>
      <c r="Q28" s="10" t="s">
        <v>146</v>
      </c>
      <c r="R28" s="10" t="s">
        <v>147</v>
      </c>
      <c r="S28" s="10" t="s">
        <v>148</v>
      </c>
    </row>
    <row r="29" spans="1:19" x14ac:dyDescent="0.3">
      <c r="A29" s="1" t="s">
        <v>83</v>
      </c>
      <c r="B29" s="1" t="s">
        <v>11</v>
      </c>
      <c r="C29" s="1" t="s">
        <v>72</v>
      </c>
      <c r="D29" s="1" t="s">
        <v>63</v>
      </c>
      <c r="F29" s="1" t="s">
        <v>66</v>
      </c>
      <c r="G29" s="1" t="s">
        <v>67</v>
      </c>
      <c r="I29" s="1" t="s">
        <v>73</v>
      </c>
      <c r="J29" s="1" t="s">
        <v>84</v>
      </c>
      <c r="K29" s="2">
        <v>0</v>
      </c>
      <c r="L29" s="1" t="s">
        <v>15</v>
      </c>
      <c r="M29" s="3">
        <v>15886.85</v>
      </c>
      <c r="P29" s="3">
        <f t="shared" si="0"/>
        <v>15886.85</v>
      </c>
      <c r="Q29" s="10" t="s">
        <v>146</v>
      </c>
      <c r="R29" s="10" t="s">
        <v>147</v>
      </c>
      <c r="S29" s="10" t="s">
        <v>148</v>
      </c>
    </row>
    <row r="30" spans="1:19" x14ac:dyDescent="0.3">
      <c r="A30" s="1" t="s">
        <v>85</v>
      </c>
      <c r="B30" s="1" t="s">
        <v>11</v>
      </c>
      <c r="C30" s="1" t="s">
        <v>72</v>
      </c>
      <c r="D30" s="1" t="s">
        <v>63</v>
      </c>
      <c r="F30" s="1" t="s">
        <v>86</v>
      </c>
      <c r="G30" s="1" t="s">
        <v>15</v>
      </c>
      <c r="I30" s="1" t="s">
        <v>87</v>
      </c>
      <c r="J30" s="1" t="s">
        <v>88</v>
      </c>
      <c r="K30" s="2">
        <v>0</v>
      </c>
      <c r="L30" s="1" t="s">
        <v>15</v>
      </c>
      <c r="M30" s="3">
        <v>49.1</v>
      </c>
      <c r="P30" s="3">
        <f t="shared" si="0"/>
        <v>49.1</v>
      </c>
      <c r="Q30" s="10" t="s">
        <v>146</v>
      </c>
      <c r="R30" s="10" t="s">
        <v>147</v>
      </c>
      <c r="S30" s="10" t="s">
        <v>148</v>
      </c>
    </row>
    <row r="31" spans="1:19" x14ac:dyDescent="0.3">
      <c r="A31" s="1" t="s">
        <v>89</v>
      </c>
      <c r="B31" s="1" t="s">
        <v>37</v>
      </c>
      <c r="C31" s="1" t="s">
        <v>72</v>
      </c>
      <c r="D31" s="1" t="s">
        <v>90</v>
      </c>
      <c r="F31" s="1" t="s">
        <v>87</v>
      </c>
      <c r="G31" s="1" t="s">
        <v>88</v>
      </c>
      <c r="I31" s="1" t="s">
        <v>91</v>
      </c>
      <c r="J31" s="1" t="s">
        <v>92</v>
      </c>
      <c r="K31" s="2">
        <v>0</v>
      </c>
      <c r="L31" s="1" t="s">
        <v>15</v>
      </c>
      <c r="M31" s="3">
        <v>25459.200000000001</v>
      </c>
      <c r="P31" s="3">
        <f t="shared" si="0"/>
        <v>25459.200000000001</v>
      </c>
      <c r="Q31" s="10" t="s">
        <v>146</v>
      </c>
      <c r="R31" s="10" t="s">
        <v>147</v>
      </c>
      <c r="S31" s="10" t="s">
        <v>148</v>
      </c>
    </row>
    <row r="32" spans="1:19" x14ac:dyDescent="0.3">
      <c r="A32" s="1" t="s">
        <v>93</v>
      </c>
      <c r="B32" s="1" t="s">
        <v>37</v>
      </c>
      <c r="C32" s="1" t="s">
        <v>72</v>
      </c>
      <c r="D32" s="1" t="s">
        <v>90</v>
      </c>
      <c r="F32" s="1" t="s">
        <v>16</v>
      </c>
      <c r="G32" s="1" t="s">
        <v>94</v>
      </c>
      <c r="I32" s="1" t="s">
        <v>87</v>
      </c>
      <c r="J32" s="1" t="s">
        <v>88</v>
      </c>
      <c r="K32" s="2">
        <v>0</v>
      </c>
      <c r="L32" s="1" t="s">
        <v>15</v>
      </c>
      <c r="M32" s="3">
        <v>33660</v>
      </c>
      <c r="P32" s="3">
        <f t="shared" si="0"/>
        <v>33660</v>
      </c>
      <c r="Q32" s="10" t="s">
        <v>146</v>
      </c>
      <c r="R32" s="10" t="s">
        <v>147</v>
      </c>
      <c r="S32" s="10" t="s">
        <v>148</v>
      </c>
    </row>
    <row r="33" spans="1:19" x14ac:dyDescent="0.3">
      <c r="A33" s="1" t="s">
        <v>95</v>
      </c>
      <c r="B33" s="1" t="s">
        <v>37</v>
      </c>
      <c r="C33" s="1" t="s">
        <v>72</v>
      </c>
      <c r="D33" s="1" t="s">
        <v>90</v>
      </c>
      <c r="F33" s="1" t="s">
        <v>86</v>
      </c>
      <c r="G33" s="1" t="s">
        <v>15</v>
      </c>
      <c r="I33" s="1" t="s">
        <v>87</v>
      </c>
      <c r="J33" s="1" t="s">
        <v>88</v>
      </c>
      <c r="K33" s="2">
        <v>0</v>
      </c>
      <c r="L33" s="1" t="s">
        <v>15</v>
      </c>
      <c r="M33" s="3">
        <v>0.55000000000000004</v>
      </c>
      <c r="P33" s="3">
        <f t="shared" si="0"/>
        <v>0.55000000000000004</v>
      </c>
      <c r="Q33" s="10" t="s">
        <v>146</v>
      </c>
      <c r="R33" s="10" t="s">
        <v>147</v>
      </c>
      <c r="S33" s="10" t="s">
        <v>148</v>
      </c>
    </row>
    <row r="34" spans="1:19" x14ac:dyDescent="0.3">
      <c r="A34" s="1" t="s">
        <v>96</v>
      </c>
      <c r="B34" s="1" t="s">
        <v>37</v>
      </c>
      <c r="C34" s="1" t="s">
        <v>72</v>
      </c>
      <c r="D34" s="1" t="s">
        <v>90</v>
      </c>
      <c r="F34" s="1" t="s">
        <v>97</v>
      </c>
      <c r="G34" s="1" t="s">
        <v>98</v>
      </c>
      <c r="I34" s="1" t="s">
        <v>64</v>
      </c>
      <c r="J34" s="1" t="s">
        <v>65</v>
      </c>
      <c r="K34" s="2">
        <v>0</v>
      </c>
      <c r="L34" s="1" t="s">
        <v>15</v>
      </c>
      <c r="M34" s="3">
        <v>7334.36</v>
      </c>
      <c r="P34" s="3">
        <f t="shared" si="0"/>
        <v>7334.36</v>
      </c>
      <c r="Q34" s="10" t="s">
        <v>146</v>
      </c>
      <c r="R34" s="10" t="s">
        <v>147</v>
      </c>
      <c r="S34" s="10" t="s">
        <v>148</v>
      </c>
    </row>
    <row r="35" spans="1:19" x14ac:dyDescent="0.3">
      <c r="A35" s="1" t="s">
        <v>99</v>
      </c>
      <c r="B35" s="1" t="s">
        <v>37</v>
      </c>
      <c r="C35" s="1" t="s">
        <v>72</v>
      </c>
      <c r="D35" s="1" t="s">
        <v>90</v>
      </c>
      <c r="F35" s="1" t="s">
        <v>86</v>
      </c>
      <c r="G35" s="1" t="s">
        <v>15</v>
      </c>
      <c r="I35" s="1" t="s">
        <v>64</v>
      </c>
      <c r="J35" s="1" t="s">
        <v>65</v>
      </c>
      <c r="K35" s="2">
        <v>0</v>
      </c>
      <c r="L35" s="1" t="s">
        <v>15</v>
      </c>
      <c r="M35" s="3">
        <v>1.19</v>
      </c>
      <c r="P35" s="3">
        <f t="shared" si="0"/>
        <v>1.19</v>
      </c>
      <c r="Q35" s="10" t="s">
        <v>146</v>
      </c>
      <c r="R35" s="10" t="s">
        <v>147</v>
      </c>
      <c r="S35" s="10" t="s">
        <v>148</v>
      </c>
    </row>
    <row r="36" spans="1:19" x14ac:dyDescent="0.3">
      <c r="A36" s="1" t="s">
        <v>100</v>
      </c>
      <c r="B36" s="1" t="s">
        <v>37</v>
      </c>
      <c r="C36" s="1" t="s">
        <v>72</v>
      </c>
      <c r="D36" s="1" t="s">
        <v>101</v>
      </c>
      <c r="F36" s="1" t="s">
        <v>16</v>
      </c>
      <c r="G36" s="1" t="s">
        <v>102</v>
      </c>
      <c r="I36" s="1" t="s">
        <v>87</v>
      </c>
      <c r="J36" s="1" t="s">
        <v>103</v>
      </c>
      <c r="K36" s="2">
        <v>0</v>
      </c>
      <c r="L36" s="1" t="s">
        <v>15</v>
      </c>
      <c r="M36" s="3">
        <v>51600</v>
      </c>
      <c r="P36" s="3">
        <f t="shared" si="0"/>
        <v>51600</v>
      </c>
      <c r="Q36" s="10" t="s">
        <v>146</v>
      </c>
      <c r="R36" s="10" t="s">
        <v>147</v>
      </c>
      <c r="S36" s="10" t="s">
        <v>148</v>
      </c>
    </row>
    <row r="37" spans="1:19" x14ac:dyDescent="0.3">
      <c r="A37" s="1" t="s">
        <v>104</v>
      </c>
      <c r="B37" s="1" t="s">
        <v>37</v>
      </c>
      <c r="C37" s="1" t="s">
        <v>72</v>
      </c>
      <c r="D37" s="1" t="s">
        <v>101</v>
      </c>
      <c r="F37" s="1" t="s">
        <v>16</v>
      </c>
      <c r="G37" s="1" t="s">
        <v>105</v>
      </c>
      <c r="I37" s="1" t="s">
        <v>87</v>
      </c>
      <c r="J37" s="1" t="s">
        <v>103</v>
      </c>
      <c r="K37" s="2">
        <v>0</v>
      </c>
      <c r="L37" s="1" t="s">
        <v>15</v>
      </c>
      <c r="M37" s="3">
        <v>9976.11</v>
      </c>
      <c r="P37" s="3">
        <f t="shared" si="0"/>
        <v>9976.11</v>
      </c>
      <c r="Q37" s="10" t="s">
        <v>146</v>
      </c>
      <c r="R37" s="10" t="s">
        <v>147</v>
      </c>
      <c r="S37" s="10" t="s">
        <v>148</v>
      </c>
    </row>
    <row r="38" spans="1:19" x14ac:dyDescent="0.3">
      <c r="A38" s="1" t="s">
        <v>106</v>
      </c>
      <c r="B38" s="1" t="s">
        <v>37</v>
      </c>
      <c r="C38" s="1" t="s">
        <v>72</v>
      </c>
      <c r="D38" s="1" t="s">
        <v>101</v>
      </c>
      <c r="F38" s="1" t="s">
        <v>16</v>
      </c>
      <c r="G38" s="1" t="s">
        <v>107</v>
      </c>
      <c r="I38" s="1" t="s">
        <v>87</v>
      </c>
      <c r="J38" s="1" t="s">
        <v>103</v>
      </c>
      <c r="K38" s="2">
        <v>0</v>
      </c>
      <c r="L38" s="1" t="s">
        <v>15</v>
      </c>
      <c r="M38" s="3">
        <v>91000</v>
      </c>
      <c r="P38" s="3">
        <f t="shared" si="0"/>
        <v>91000</v>
      </c>
      <c r="Q38" s="10" t="s">
        <v>146</v>
      </c>
      <c r="R38" s="10" t="s">
        <v>147</v>
      </c>
      <c r="S38" s="10" t="s">
        <v>148</v>
      </c>
    </row>
    <row r="39" spans="1:19" x14ac:dyDescent="0.3">
      <c r="A39" s="1" t="s">
        <v>108</v>
      </c>
      <c r="B39" s="1" t="s">
        <v>37</v>
      </c>
      <c r="C39" s="1" t="s">
        <v>72</v>
      </c>
      <c r="D39" s="1" t="s">
        <v>101</v>
      </c>
      <c r="F39" s="1" t="s">
        <v>109</v>
      </c>
      <c r="G39" s="1" t="s">
        <v>15</v>
      </c>
      <c r="I39" s="1" t="s">
        <v>87</v>
      </c>
      <c r="J39" s="1" t="s">
        <v>103</v>
      </c>
      <c r="K39" s="2">
        <v>0</v>
      </c>
      <c r="L39" s="1" t="s">
        <v>15</v>
      </c>
      <c r="M39" s="3">
        <v>4000</v>
      </c>
      <c r="P39" s="3">
        <f t="shared" si="0"/>
        <v>4000</v>
      </c>
      <c r="Q39" s="10" t="s">
        <v>146</v>
      </c>
      <c r="R39" s="10" t="s">
        <v>147</v>
      </c>
      <c r="S39" s="10" t="s">
        <v>148</v>
      </c>
    </row>
    <row r="40" spans="1:19" x14ac:dyDescent="0.3">
      <c r="A40" s="1" t="s">
        <v>110</v>
      </c>
      <c r="B40" s="1" t="s">
        <v>111</v>
      </c>
      <c r="C40" s="1" t="s">
        <v>12</v>
      </c>
      <c r="D40" s="1" t="s">
        <v>112</v>
      </c>
      <c r="F40" s="1" t="s">
        <v>14</v>
      </c>
      <c r="G40" s="1" t="s">
        <v>15</v>
      </c>
      <c r="I40" s="1" t="s">
        <v>16</v>
      </c>
      <c r="J40" s="1" t="s">
        <v>113</v>
      </c>
      <c r="K40" s="2">
        <v>0</v>
      </c>
      <c r="L40" s="1" t="s">
        <v>15</v>
      </c>
      <c r="M40" s="3">
        <v>39.24</v>
      </c>
      <c r="P40" s="3">
        <f t="shared" si="0"/>
        <v>39.24</v>
      </c>
      <c r="Q40" s="10" t="s">
        <v>146</v>
      </c>
      <c r="R40" s="10" t="s">
        <v>147</v>
      </c>
      <c r="S40" s="10" t="s">
        <v>148</v>
      </c>
    </row>
    <row r="41" spans="1:19" x14ac:dyDescent="0.3">
      <c r="A41" s="1" t="s">
        <v>114</v>
      </c>
      <c r="B41" s="1" t="s">
        <v>37</v>
      </c>
      <c r="C41" s="1" t="s">
        <v>62</v>
      </c>
      <c r="D41" s="1" t="s">
        <v>52</v>
      </c>
      <c r="F41" s="1" t="s">
        <v>56</v>
      </c>
      <c r="G41" s="1" t="s">
        <v>57</v>
      </c>
      <c r="I41" s="1" t="s">
        <v>53</v>
      </c>
      <c r="J41" s="1" t="s">
        <v>54</v>
      </c>
      <c r="K41" s="2">
        <v>0</v>
      </c>
      <c r="L41" s="1" t="s">
        <v>15</v>
      </c>
      <c r="M41" s="3">
        <v>-1000</v>
      </c>
      <c r="P41" s="3">
        <f t="shared" si="0"/>
        <v>-1000</v>
      </c>
      <c r="Q41" s="10" t="s">
        <v>146</v>
      </c>
      <c r="R41" s="10" t="s">
        <v>147</v>
      </c>
      <c r="S41" s="10" t="s">
        <v>148</v>
      </c>
    </row>
    <row r="42" spans="1:19" x14ac:dyDescent="0.3">
      <c r="A42" s="1" t="s">
        <v>115</v>
      </c>
      <c r="B42" s="1" t="s">
        <v>37</v>
      </c>
      <c r="C42" s="1" t="s">
        <v>62</v>
      </c>
      <c r="D42" s="1" t="s">
        <v>52</v>
      </c>
      <c r="F42" s="1" t="s">
        <v>59</v>
      </c>
      <c r="G42" s="1" t="s">
        <v>60</v>
      </c>
      <c r="I42" s="1" t="s">
        <v>56</v>
      </c>
      <c r="J42" s="1" t="s">
        <v>57</v>
      </c>
      <c r="K42" s="2">
        <v>0</v>
      </c>
      <c r="L42" s="1" t="s">
        <v>15</v>
      </c>
      <c r="M42" s="3">
        <v>-1000</v>
      </c>
      <c r="P42" s="3">
        <f t="shared" si="0"/>
        <v>-1000</v>
      </c>
      <c r="Q42" s="10" t="s">
        <v>146</v>
      </c>
      <c r="R42" s="10" t="s">
        <v>147</v>
      </c>
      <c r="S42" s="10" t="s">
        <v>148</v>
      </c>
    </row>
    <row r="43" spans="1:19" x14ac:dyDescent="0.3">
      <c r="A43" s="1" t="s">
        <v>116</v>
      </c>
      <c r="B43" s="1" t="s">
        <v>111</v>
      </c>
      <c r="C43" s="1" t="s">
        <v>12</v>
      </c>
      <c r="D43" s="1" t="s">
        <v>117</v>
      </c>
      <c r="F43" s="1" t="s">
        <v>118</v>
      </c>
      <c r="G43" s="1" t="s">
        <v>119</v>
      </c>
      <c r="I43" s="1" t="s">
        <v>16</v>
      </c>
      <c r="J43" s="1" t="s">
        <v>120</v>
      </c>
      <c r="K43" s="2">
        <v>0</v>
      </c>
      <c r="L43" s="1" t="s">
        <v>15</v>
      </c>
      <c r="M43" s="3">
        <v>312</v>
      </c>
      <c r="P43" s="3">
        <f t="shared" si="0"/>
        <v>312</v>
      </c>
      <c r="Q43" s="10" t="s">
        <v>146</v>
      </c>
      <c r="R43" s="10" t="s">
        <v>147</v>
      </c>
      <c r="S43" s="10" t="s">
        <v>148</v>
      </c>
    </row>
    <row r="44" spans="1:19" x14ac:dyDescent="0.3">
      <c r="A44" s="1" t="s">
        <v>121</v>
      </c>
      <c r="B44" s="1" t="s">
        <v>111</v>
      </c>
      <c r="C44" s="1" t="s">
        <v>12</v>
      </c>
      <c r="D44" s="1" t="s">
        <v>117</v>
      </c>
      <c r="F44" s="1" t="s">
        <v>22</v>
      </c>
      <c r="G44" s="1" t="s">
        <v>122</v>
      </c>
      <c r="I44" s="1" t="s">
        <v>118</v>
      </c>
      <c r="J44" s="1" t="s">
        <v>119</v>
      </c>
      <c r="K44" s="2">
        <v>0</v>
      </c>
      <c r="L44" s="1" t="s">
        <v>15</v>
      </c>
      <c r="M44" s="3">
        <v>312</v>
      </c>
      <c r="P44" s="3">
        <f t="shared" si="0"/>
        <v>312</v>
      </c>
      <c r="Q44" s="10" t="s">
        <v>146</v>
      </c>
      <c r="R44" s="10" t="s">
        <v>147</v>
      </c>
      <c r="S44" s="10" t="s">
        <v>148</v>
      </c>
    </row>
    <row r="45" spans="1:19" x14ac:dyDescent="0.3">
      <c r="A45" s="1" t="s">
        <v>123</v>
      </c>
      <c r="B45" s="1" t="s">
        <v>111</v>
      </c>
      <c r="C45" s="1" t="s">
        <v>12</v>
      </c>
      <c r="D45" s="1" t="s">
        <v>124</v>
      </c>
      <c r="F45" s="1" t="s">
        <v>14</v>
      </c>
      <c r="G45" s="1" t="s">
        <v>15</v>
      </c>
      <c r="I45" s="1" t="s">
        <v>16</v>
      </c>
      <c r="J45" s="1" t="s">
        <v>125</v>
      </c>
      <c r="K45" s="2">
        <v>0</v>
      </c>
      <c r="L45" s="1" t="s">
        <v>15</v>
      </c>
      <c r="M45" s="3">
        <v>399.84</v>
      </c>
      <c r="P45" s="3">
        <f t="shared" si="0"/>
        <v>399.84</v>
      </c>
      <c r="Q45" s="10" t="s">
        <v>146</v>
      </c>
      <c r="R45" s="10" t="s">
        <v>147</v>
      </c>
      <c r="S45" s="10" t="s">
        <v>148</v>
      </c>
    </row>
    <row r="46" spans="1:19" x14ac:dyDescent="0.3">
      <c r="A46" s="1" t="s">
        <v>126</v>
      </c>
      <c r="B46" s="1" t="s">
        <v>111</v>
      </c>
      <c r="C46" s="1" t="s">
        <v>72</v>
      </c>
      <c r="D46" s="1" t="s">
        <v>127</v>
      </c>
      <c r="F46" s="1" t="s">
        <v>87</v>
      </c>
      <c r="G46" s="1" t="s">
        <v>88</v>
      </c>
      <c r="I46" s="1" t="s">
        <v>91</v>
      </c>
      <c r="J46" s="1" t="s">
        <v>128</v>
      </c>
      <c r="K46" s="2">
        <v>0</v>
      </c>
      <c r="L46" s="1" t="s">
        <v>15</v>
      </c>
      <c r="M46" s="3">
        <v>221.4</v>
      </c>
      <c r="P46" s="3">
        <f t="shared" si="0"/>
        <v>221.4</v>
      </c>
      <c r="Q46" s="10" t="s">
        <v>146</v>
      </c>
      <c r="R46" s="10" t="s">
        <v>147</v>
      </c>
      <c r="S46" s="10" t="s">
        <v>148</v>
      </c>
    </row>
    <row r="47" spans="1:19" x14ac:dyDescent="0.3">
      <c r="A47" s="1" t="s">
        <v>129</v>
      </c>
      <c r="B47" s="1" t="s">
        <v>111</v>
      </c>
      <c r="C47" s="1" t="s">
        <v>72</v>
      </c>
      <c r="D47" s="1" t="s">
        <v>127</v>
      </c>
      <c r="F47" s="1" t="s">
        <v>87</v>
      </c>
      <c r="G47" s="1" t="s">
        <v>88</v>
      </c>
      <c r="I47" s="1" t="s">
        <v>91</v>
      </c>
      <c r="J47" s="1" t="s">
        <v>130</v>
      </c>
      <c r="K47" s="2">
        <v>0</v>
      </c>
      <c r="L47" s="1" t="s">
        <v>15</v>
      </c>
      <c r="M47" s="3">
        <v>6396</v>
      </c>
      <c r="P47" s="3">
        <f t="shared" si="0"/>
        <v>6396</v>
      </c>
      <c r="Q47" s="10" t="s">
        <v>146</v>
      </c>
      <c r="R47" s="10" t="s">
        <v>147</v>
      </c>
      <c r="S47" s="10" t="s">
        <v>148</v>
      </c>
    </row>
    <row r="48" spans="1:19" x14ac:dyDescent="0.3">
      <c r="A48" s="1" t="s">
        <v>131</v>
      </c>
      <c r="B48" s="1" t="s">
        <v>111</v>
      </c>
      <c r="C48" s="1" t="s">
        <v>72</v>
      </c>
      <c r="D48" s="1" t="s">
        <v>132</v>
      </c>
      <c r="F48" s="1" t="s">
        <v>16</v>
      </c>
      <c r="G48" s="1" t="s">
        <v>133</v>
      </c>
      <c r="I48" s="1" t="s">
        <v>87</v>
      </c>
      <c r="J48" s="1" t="s">
        <v>103</v>
      </c>
      <c r="K48" s="2">
        <v>0</v>
      </c>
      <c r="L48" s="1" t="s">
        <v>15</v>
      </c>
      <c r="M48" s="3">
        <v>492</v>
      </c>
      <c r="P48" s="3">
        <f t="shared" si="0"/>
        <v>492</v>
      </c>
      <c r="Q48" s="10" t="s">
        <v>146</v>
      </c>
      <c r="R48" s="10" t="s">
        <v>147</v>
      </c>
      <c r="S48" s="10" t="s">
        <v>148</v>
      </c>
    </row>
    <row r="49" spans="1:19" x14ac:dyDescent="0.3">
      <c r="A49" s="1" t="s">
        <v>134</v>
      </c>
      <c r="B49" s="1" t="s">
        <v>111</v>
      </c>
      <c r="C49" s="1" t="s">
        <v>72</v>
      </c>
      <c r="D49" s="1" t="s">
        <v>132</v>
      </c>
      <c r="F49" s="1" t="s">
        <v>16</v>
      </c>
      <c r="G49" s="1" t="s">
        <v>135</v>
      </c>
      <c r="I49" s="1" t="s">
        <v>87</v>
      </c>
      <c r="J49" s="1" t="s">
        <v>103</v>
      </c>
      <c r="K49" s="2">
        <v>0</v>
      </c>
      <c r="L49" s="1" t="s">
        <v>15</v>
      </c>
      <c r="M49" s="3">
        <v>328.54</v>
      </c>
      <c r="P49" s="3">
        <f t="shared" si="0"/>
        <v>328.54</v>
      </c>
      <c r="Q49" s="10" t="s">
        <v>146</v>
      </c>
      <c r="R49" s="10" t="s">
        <v>147</v>
      </c>
      <c r="S49" s="10" t="s">
        <v>148</v>
      </c>
    </row>
    <row r="50" spans="1:19" x14ac:dyDescent="0.3">
      <c r="A50" s="1" t="s">
        <v>136</v>
      </c>
      <c r="B50" s="1" t="s">
        <v>111</v>
      </c>
      <c r="C50" s="1" t="s">
        <v>72</v>
      </c>
      <c r="D50" s="1" t="s">
        <v>132</v>
      </c>
      <c r="F50" s="1" t="s">
        <v>16</v>
      </c>
      <c r="G50" s="1" t="s">
        <v>137</v>
      </c>
      <c r="I50" s="1" t="s">
        <v>87</v>
      </c>
      <c r="J50" s="1" t="s">
        <v>103</v>
      </c>
      <c r="K50" s="2">
        <v>0</v>
      </c>
      <c r="L50" s="1" t="s">
        <v>15</v>
      </c>
      <c r="M50" s="3">
        <v>7.25</v>
      </c>
      <c r="P50" s="3">
        <f t="shared" si="0"/>
        <v>7.25</v>
      </c>
      <c r="Q50" s="10" t="s">
        <v>146</v>
      </c>
      <c r="R50" s="10" t="s">
        <v>147</v>
      </c>
      <c r="S50" s="10" t="s">
        <v>148</v>
      </c>
    </row>
    <row r="51" spans="1:19" x14ac:dyDescent="0.3">
      <c r="A51" s="1" t="s">
        <v>138</v>
      </c>
      <c r="B51" s="1" t="s">
        <v>111</v>
      </c>
      <c r="C51" s="1" t="s">
        <v>72</v>
      </c>
      <c r="D51" s="1" t="s">
        <v>132</v>
      </c>
      <c r="F51" s="1" t="s">
        <v>16</v>
      </c>
      <c r="G51" s="1" t="s">
        <v>139</v>
      </c>
      <c r="I51" s="1" t="s">
        <v>87</v>
      </c>
      <c r="J51" s="1" t="s">
        <v>103</v>
      </c>
      <c r="K51" s="2">
        <v>0</v>
      </c>
      <c r="L51" s="1" t="s">
        <v>15</v>
      </c>
      <c r="M51" s="3">
        <v>2.88</v>
      </c>
      <c r="P51" s="3">
        <f t="shared" si="0"/>
        <v>2.88</v>
      </c>
      <c r="Q51" s="10" t="s">
        <v>146</v>
      </c>
      <c r="R51" s="10" t="s">
        <v>147</v>
      </c>
      <c r="S51" s="10" t="s">
        <v>148</v>
      </c>
    </row>
  </sheetData>
  <autoFilter ref="A1:M51" xr:uid="{00000000-0009-0000-0000-000000000000}"/>
  <pageMargins left="0.7" right="0.7" top="0.75" bottom="0.75" header="0.3" footer="0.3"/>
  <pageSetup paperSize="9" orientation="portrait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Tsvetan Gergov</cp:lastModifiedBy>
  <dcterms:created xsi:type="dcterms:W3CDTF">2024-04-29T06:17:02Z</dcterms:created>
  <dcterms:modified xsi:type="dcterms:W3CDTF">2025-10-21T01:15:43Z</dcterms:modified>
</cp:coreProperties>
</file>